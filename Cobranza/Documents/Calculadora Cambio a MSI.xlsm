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iner.carstens\Documents\PROVAC\Negocio Financiero\Esquemas de Financiamientos\"/>
    </mc:Choice>
  </mc:AlternateContent>
  <xr:revisionPtr revIDLastSave="0" documentId="8_{62E2200F-8935-4051-A2AF-41D6F89A9500}" xr6:coauthVersionLast="45" xr6:coauthVersionMax="45" xr10:uidLastSave="{00000000-0000-0000-0000-000000000000}"/>
  <bookViews>
    <workbookView xWindow="49170" yWindow="-120" windowWidth="29040" windowHeight="15840" xr2:uid="{C20BBF53-2D1B-4B90-BAB6-94109FDBC37A}"/>
  </bookViews>
  <sheets>
    <sheet name="Calculadora" sheetId="1" r:id="rId1"/>
  </sheets>
  <definedNames>
    <definedName name="Plazos_MSI">Calculadora!$AK$9:$AK$13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1" l="1"/>
  <c r="D16" i="1" l="1"/>
  <c r="S10" i="1" l="1"/>
  <c r="S87" i="1"/>
  <c r="V87" i="1" s="1"/>
  <c r="S88" i="1"/>
  <c r="V88" i="1" s="1"/>
  <c r="S89" i="1"/>
  <c r="V89" i="1" s="1"/>
  <c r="S90" i="1"/>
  <c r="V90" i="1" s="1"/>
  <c r="S91" i="1"/>
  <c r="V91" i="1" s="1"/>
  <c r="S92" i="1"/>
  <c r="V92" i="1" s="1"/>
  <c r="S93" i="1"/>
  <c r="V93" i="1" s="1"/>
  <c r="S94" i="1"/>
  <c r="V94" i="1" s="1"/>
  <c r="S95" i="1"/>
  <c r="V95" i="1" s="1"/>
  <c r="S96" i="1"/>
  <c r="V96" i="1" s="1"/>
  <c r="S97" i="1"/>
  <c r="V97" i="1" s="1"/>
  <c r="S98" i="1"/>
  <c r="V98" i="1" s="1"/>
  <c r="S99" i="1"/>
  <c r="V99" i="1" s="1"/>
  <c r="S100" i="1"/>
  <c r="V100" i="1" s="1"/>
  <c r="S101" i="1"/>
  <c r="V101" i="1" s="1"/>
  <c r="S102" i="1"/>
  <c r="V102" i="1" s="1"/>
  <c r="S103" i="1"/>
  <c r="V103" i="1" s="1"/>
  <c r="S104" i="1"/>
  <c r="V104" i="1" s="1"/>
  <c r="S105" i="1"/>
  <c r="V105" i="1" s="1"/>
  <c r="S106" i="1"/>
  <c r="V106" i="1" s="1"/>
  <c r="S107" i="1"/>
  <c r="V107" i="1" s="1"/>
  <c r="S108" i="1"/>
  <c r="V108" i="1" s="1"/>
  <c r="S109" i="1"/>
  <c r="V109" i="1" s="1"/>
  <c r="S110" i="1"/>
  <c r="V110" i="1" s="1"/>
  <c r="S111" i="1"/>
  <c r="V111" i="1" s="1"/>
  <c r="S112" i="1"/>
  <c r="V112" i="1" s="1"/>
  <c r="S113" i="1"/>
  <c r="V113" i="1" s="1"/>
  <c r="S114" i="1"/>
  <c r="V114" i="1" s="1"/>
  <c r="S115" i="1"/>
  <c r="V115" i="1" s="1"/>
  <c r="S116" i="1"/>
  <c r="V116" i="1" s="1"/>
  <c r="S117" i="1"/>
  <c r="V117" i="1" s="1"/>
  <c r="S118" i="1"/>
  <c r="V118" i="1" s="1"/>
  <c r="S119" i="1"/>
  <c r="V119" i="1" s="1"/>
  <c r="S120" i="1"/>
  <c r="V120" i="1" s="1"/>
  <c r="S121" i="1"/>
  <c r="V121" i="1" s="1"/>
  <c r="S122" i="1"/>
  <c r="V122" i="1" s="1"/>
  <c r="S123" i="1"/>
  <c r="V123" i="1" s="1"/>
  <c r="S124" i="1"/>
  <c r="V124" i="1" s="1"/>
  <c r="S125" i="1"/>
  <c r="V125" i="1" s="1"/>
  <c r="S126" i="1"/>
  <c r="V126" i="1" s="1"/>
  <c r="S127" i="1"/>
  <c r="V127" i="1" s="1"/>
  <c r="S128" i="1"/>
  <c r="V128" i="1" s="1"/>
  <c r="S129" i="1"/>
  <c r="V129" i="1" s="1"/>
  <c r="S130" i="1"/>
  <c r="V130" i="1" s="1"/>
  <c r="S131" i="1"/>
  <c r="V131" i="1" s="1"/>
  <c r="S132" i="1"/>
  <c r="V132" i="1" s="1"/>
  <c r="S133" i="1"/>
  <c r="V133" i="1" s="1"/>
  <c r="S134" i="1"/>
  <c r="V134" i="1" s="1"/>
  <c r="S135" i="1"/>
  <c r="V135" i="1" s="1"/>
  <c r="S136" i="1"/>
  <c r="V136" i="1" s="1"/>
  <c r="S137" i="1"/>
  <c r="V137" i="1" s="1"/>
  <c r="S138" i="1"/>
  <c r="V138" i="1" s="1"/>
  <c r="S139" i="1"/>
  <c r="V139" i="1" s="1"/>
  <c r="S140" i="1"/>
  <c r="S141" i="1"/>
  <c r="V141" i="1" s="1"/>
  <c r="S142" i="1"/>
  <c r="V142" i="1" s="1"/>
  <c r="S143" i="1"/>
  <c r="V143" i="1" s="1"/>
  <c r="S144" i="1"/>
  <c r="V144" i="1" s="1"/>
  <c r="S145" i="1"/>
  <c r="V145" i="1" s="1"/>
  <c r="S146" i="1"/>
  <c r="V146" i="1" s="1"/>
  <c r="L87" i="1"/>
  <c r="O87" i="1" s="1"/>
  <c r="L88" i="1"/>
  <c r="O88" i="1" s="1"/>
  <c r="L89" i="1"/>
  <c r="O89" i="1" s="1"/>
  <c r="L90" i="1"/>
  <c r="L91" i="1"/>
  <c r="L92" i="1"/>
  <c r="O92" i="1" s="1"/>
  <c r="L93" i="1"/>
  <c r="O93" i="1" s="1"/>
  <c r="L94" i="1"/>
  <c r="L95" i="1"/>
  <c r="O95" i="1" s="1"/>
  <c r="L96" i="1"/>
  <c r="O96" i="1" s="1"/>
  <c r="L97" i="1"/>
  <c r="O97" i="1" s="1"/>
  <c r="L98" i="1"/>
  <c r="L99" i="1"/>
  <c r="O99" i="1" s="1"/>
  <c r="L100" i="1"/>
  <c r="O100" i="1" s="1"/>
  <c r="L101" i="1"/>
  <c r="O101" i="1" s="1"/>
  <c r="L102" i="1"/>
  <c r="L103" i="1"/>
  <c r="O103" i="1" s="1"/>
  <c r="L104" i="1"/>
  <c r="O104" i="1" s="1"/>
  <c r="L105" i="1"/>
  <c r="O105" i="1" s="1"/>
  <c r="L106" i="1"/>
  <c r="L107" i="1"/>
  <c r="O107" i="1" s="1"/>
  <c r="L108" i="1"/>
  <c r="O108" i="1" s="1"/>
  <c r="L109" i="1"/>
  <c r="O109" i="1" s="1"/>
  <c r="L110" i="1"/>
  <c r="L111" i="1"/>
  <c r="O111" i="1" s="1"/>
  <c r="L112" i="1"/>
  <c r="O112" i="1" s="1"/>
  <c r="L113" i="1"/>
  <c r="O113" i="1" s="1"/>
  <c r="L114" i="1"/>
  <c r="L115" i="1"/>
  <c r="O115" i="1" s="1"/>
  <c r="L116" i="1"/>
  <c r="O116" i="1" s="1"/>
  <c r="L117" i="1"/>
  <c r="O117" i="1" s="1"/>
  <c r="L118" i="1"/>
  <c r="L119" i="1"/>
  <c r="O119" i="1" s="1"/>
  <c r="L120" i="1"/>
  <c r="O120" i="1" s="1"/>
  <c r="L121" i="1"/>
  <c r="O121" i="1" s="1"/>
  <c r="L122" i="1"/>
  <c r="L123" i="1"/>
  <c r="O123" i="1" s="1"/>
  <c r="L124" i="1"/>
  <c r="O124" i="1" s="1"/>
  <c r="L125" i="1"/>
  <c r="O125" i="1" s="1"/>
  <c r="L126" i="1"/>
  <c r="L127" i="1"/>
  <c r="O127" i="1" s="1"/>
  <c r="L128" i="1"/>
  <c r="O128" i="1" s="1"/>
  <c r="L129" i="1"/>
  <c r="O129" i="1" s="1"/>
  <c r="L130" i="1"/>
  <c r="L131" i="1"/>
  <c r="O131" i="1" s="1"/>
  <c r="L132" i="1"/>
  <c r="O132" i="1" s="1"/>
  <c r="L133" i="1"/>
  <c r="O133" i="1" s="1"/>
  <c r="L134" i="1"/>
  <c r="L135" i="1"/>
  <c r="O135" i="1" s="1"/>
  <c r="L136" i="1"/>
  <c r="O136" i="1" s="1"/>
  <c r="L137" i="1"/>
  <c r="O137" i="1" s="1"/>
  <c r="L138" i="1"/>
  <c r="L139" i="1"/>
  <c r="O139" i="1" s="1"/>
  <c r="L140" i="1"/>
  <c r="O140" i="1" s="1"/>
  <c r="L141" i="1"/>
  <c r="O141" i="1" s="1"/>
  <c r="L142" i="1"/>
  <c r="L143" i="1"/>
  <c r="O143" i="1" s="1"/>
  <c r="L144" i="1"/>
  <c r="O144" i="1" s="1"/>
  <c r="L145" i="1"/>
  <c r="O145" i="1" s="1"/>
  <c r="L146" i="1"/>
  <c r="O91" i="1"/>
  <c r="V140" i="1" l="1"/>
  <c r="O90" i="1"/>
  <c r="O94" i="1"/>
  <c r="O98" i="1"/>
  <c r="O102" i="1"/>
  <c r="O106" i="1"/>
  <c r="O110" i="1"/>
  <c r="O114" i="1"/>
  <c r="O118" i="1"/>
  <c r="O122" i="1"/>
  <c r="O126" i="1"/>
  <c r="O130" i="1"/>
  <c r="O134" i="1"/>
  <c r="O138" i="1"/>
  <c r="O142" i="1"/>
  <c r="O146" i="1"/>
  <c r="D11" i="1" l="1"/>
  <c r="D14" i="1" s="1"/>
  <c r="M7" i="1" l="1"/>
  <c r="M14" i="1" l="1"/>
  <c r="S76" i="1" s="1"/>
  <c r="V76" i="1" s="1"/>
  <c r="K27" i="1"/>
  <c r="N27" i="1" s="1"/>
  <c r="M11" i="1"/>
  <c r="S84" i="1"/>
  <c r="V84" i="1" s="1"/>
  <c r="S41" i="1"/>
  <c r="V41" i="1" s="1"/>
  <c r="C27" i="1"/>
  <c r="F27" i="1" s="1"/>
  <c r="D18" i="1"/>
  <c r="D146" i="1" l="1"/>
  <c r="G146" i="1" s="1"/>
  <c r="D145" i="1"/>
  <c r="G145" i="1" s="1"/>
  <c r="D144" i="1"/>
  <c r="G144" i="1" s="1"/>
  <c r="S29" i="1"/>
  <c r="V29" i="1" s="1"/>
  <c r="S70" i="1"/>
  <c r="V70" i="1" s="1"/>
  <c r="S55" i="1"/>
  <c r="V55" i="1" s="1"/>
  <c r="S69" i="1"/>
  <c r="V69" i="1" s="1"/>
  <c r="S46" i="1"/>
  <c r="V46" i="1" s="1"/>
  <c r="S71" i="1"/>
  <c r="V71" i="1" s="1"/>
  <c r="S58" i="1"/>
  <c r="V58" i="1" s="1"/>
  <c r="S54" i="1"/>
  <c r="V54" i="1" s="1"/>
  <c r="S42" i="1"/>
  <c r="V42" i="1" s="1"/>
  <c r="S37" i="1"/>
  <c r="V37" i="1" s="1"/>
  <c r="S72" i="1"/>
  <c r="V72" i="1" s="1"/>
  <c r="S79" i="1"/>
  <c r="V79" i="1" s="1"/>
  <c r="S59" i="1"/>
  <c r="V59" i="1" s="1"/>
  <c r="D142" i="1"/>
  <c r="G142" i="1" s="1"/>
  <c r="D138" i="1"/>
  <c r="G138" i="1" s="1"/>
  <c r="D134" i="1"/>
  <c r="G134" i="1" s="1"/>
  <c r="D130" i="1"/>
  <c r="G130" i="1" s="1"/>
  <c r="D126" i="1"/>
  <c r="G126" i="1" s="1"/>
  <c r="D122" i="1"/>
  <c r="G122" i="1" s="1"/>
  <c r="D118" i="1"/>
  <c r="G118" i="1" s="1"/>
  <c r="D114" i="1"/>
  <c r="G114" i="1" s="1"/>
  <c r="D110" i="1"/>
  <c r="G110" i="1" s="1"/>
  <c r="D106" i="1"/>
  <c r="G106" i="1" s="1"/>
  <c r="D102" i="1"/>
  <c r="G102" i="1" s="1"/>
  <c r="D98" i="1"/>
  <c r="G98" i="1" s="1"/>
  <c r="D94" i="1"/>
  <c r="G94" i="1" s="1"/>
  <c r="D90" i="1"/>
  <c r="G90" i="1" s="1"/>
  <c r="D141" i="1"/>
  <c r="G141" i="1" s="1"/>
  <c r="D137" i="1"/>
  <c r="G137" i="1" s="1"/>
  <c r="D133" i="1"/>
  <c r="G133" i="1" s="1"/>
  <c r="D129" i="1"/>
  <c r="G129" i="1" s="1"/>
  <c r="D125" i="1"/>
  <c r="G125" i="1" s="1"/>
  <c r="D121" i="1"/>
  <c r="G121" i="1" s="1"/>
  <c r="D117" i="1"/>
  <c r="G117" i="1" s="1"/>
  <c r="D113" i="1"/>
  <c r="G113" i="1" s="1"/>
  <c r="D109" i="1"/>
  <c r="G109" i="1" s="1"/>
  <c r="D105" i="1"/>
  <c r="G105" i="1" s="1"/>
  <c r="D101" i="1"/>
  <c r="G101" i="1" s="1"/>
  <c r="D97" i="1"/>
  <c r="G97" i="1" s="1"/>
  <c r="D93" i="1"/>
  <c r="G93" i="1" s="1"/>
  <c r="D89" i="1"/>
  <c r="G89" i="1" s="1"/>
  <c r="D140" i="1"/>
  <c r="G140" i="1" s="1"/>
  <c r="D136" i="1"/>
  <c r="G136" i="1" s="1"/>
  <c r="D132" i="1"/>
  <c r="G132" i="1" s="1"/>
  <c r="D128" i="1"/>
  <c r="G128" i="1" s="1"/>
  <c r="D124" i="1"/>
  <c r="G124" i="1" s="1"/>
  <c r="D120" i="1"/>
  <c r="G120" i="1" s="1"/>
  <c r="D116" i="1"/>
  <c r="G116" i="1" s="1"/>
  <c r="D112" i="1"/>
  <c r="G112" i="1" s="1"/>
  <c r="D108" i="1"/>
  <c r="G108" i="1" s="1"/>
  <c r="D104" i="1"/>
  <c r="G104" i="1" s="1"/>
  <c r="D100" i="1"/>
  <c r="G100" i="1" s="1"/>
  <c r="D96" i="1"/>
  <c r="G96" i="1" s="1"/>
  <c r="D92" i="1"/>
  <c r="G92" i="1" s="1"/>
  <c r="D88" i="1"/>
  <c r="G88" i="1" s="1"/>
  <c r="D143" i="1"/>
  <c r="G143" i="1" s="1"/>
  <c r="D139" i="1"/>
  <c r="G139" i="1" s="1"/>
  <c r="D135" i="1"/>
  <c r="G135" i="1" s="1"/>
  <c r="D131" i="1"/>
  <c r="G131" i="1" s="1"/>
  <c r="D127" i="1"/>
  <c r="G127" i="1" s="1"/>
  <c r="D123" i="1"/>
  <c r="G123" i="1" s="1"/>
  <c r="D119" i="1"/>
  <c r="G119" i="1" s="1"/>
  <c r="D115" i="1"/>
  <c r="G115" i="1" s="1"/>
  <c r="D111" i="1"/>
  <c r="G111" i="1" s="1"/>
  <c r="D107" i="1"/>
  <c r="G107" i="1" s="1"/>
  <c r="D103" i="1"/>
  <c r="G103" i="1" s="1"/>
  <c r="D99" i="1"/>
  <c r="G99" i="1" s="1"/>
  <c r="D95" i="1"/>
  <c r="G95" i="1" s="1"/>
  <c r="D91" i="1"/>
  <c r="G91" i="1" s="1"/>
  <c r="D87" i="1"/>
  <c r="G87" i="1" s="1"/>
  <c r="S28" i="1"/>
  <c r="V28" i="1" s="1"/>
  <c r="S45" i="1"/>
  <c r="V45" i="1" s="1"/>
  <c r="S62" i="1"/>
  <c r="V62" i="1" s="1"/>
  <c r="S77" i="1"/>
  <c r="V77" i="1" s="1"/>
  <c r="S53" i="1"/>
  <c r="V53" i="1" s="1"/>
  <c r="S63" i="1"/>
  <c r="V63" i="1" s="1"/>
  <c r="S33" i="1"/>
  <c r="V33" i="1" s="1"/>
  <c r="S50" i="1"/>
  <c r="V50" i="1" s="1"/>
  <c r="S81" i="1"/>
  <c r="V81" i="1" s="1"/>
  <c r="S75" i="1"/>
  <c r="V75" i="1" s="1"/>
  <c r="S40" i="1"/>
  <c r="V40" i="1" s="1"/>
  <c r="S57" i="1"/>
  <c r="V57" i="1" s="1"/>
  <c r="S74" i="1"/>
  <c r="V74" i="1" s="1"/>
  <c r="S51" i="1"/>
  <c r="V51" i="1" s="1"/>
  <c r="S80" i="1"/>
  <c r="V80" i="1" s="1"/>
  <c r="S44" i="1"/>
  <c r="V44" i="1" s="1"/>
  <c r="S61" i="1"/>
  <c r="V61" i="1" s="1"/>
  <c r="R27" i="1"/>
  <c r="U27" i="1" s="1"/>
  <c r="S35" i="1"/>
  <c r="V35" i="1" s="1"/>
  <c r="S38" i="1"/>
  <c r="V38" i="1" s="1"/>
  <c r="S32" i="1"/>
  <c r="V32" i="1" s="1"/>
  <c r="S49" i="1"/>
  <c r="V49" i="1" s="1"/>
  <c r="S66" i="1"/>
  <c r="V66" i="1" s="1"/>
  <c r="S85" i="1"/>
  <c r="V85" i="1" s="1"/>
  <c r="S36" i="1"/>
  <c r="V36" i="1" s="1"/>
  <c r="S39" i="1"/>
  <c r="V39" i="1" s="1"/>
  <c r="S56" i="1"/>
  <c r="V56" i="1" s="1"/>
  <c r="S73" i="1"/>
  <c r="V73" i="1" s="1"/>
  <c r="S78" i="1"/>
  <c r="V78" i="1" s="1"/>
  <c r="S68" i="1"/>
  <c r="V68" i="1" s="1"/>
  <c r="S43" i="1"/>
  <c r="V43" i="1" s="1"/>
  <c r="S60" i="1"/>
  <c r="V60" i="1" s="1"/>
  <c r="S30" i="1"/>
  <c r="V30" i="1" s="1"/>
  <c r="S82" i="1"/>
  <c r="V82" i="1" s="1"/>
  <c r="S67" i="1"/>
  <c r="V67" i="1" s="1"/>
  <c r="S31" i="1"/>
  <c r="V31" i="1" s="1"/>
  <c r="S48" i="1"/>
  <c r="V48" i="1" s="1"/>
  <c r="S65" i="1"/>
  <c r="V65" i="1" s="1"/>
  <c r="S86" i="1"/>
  <c r="V86" i="1" s="1"/>
  <c r="S83" i="1"/>
  <c r="V83" i="1" s="1"/>
  <c r="S52" i="1"/>
  <c r="V52" i="1" s="1"/>
  <c r="S47" i="1"/>
  <c r="V47" i="1" s="1"/>
  <c r="S64" i="1"/>
  <c r="V64" i="1" s="1"/>
  <c r="S34" i="1"/>
  <c r="V34" i="1" s="1"/>
  <c r="L31" i="1"/>
  <c r="L80" i="1"/>
  <c r="L75" i="1"/>
  <c r="L61" i="1"/>
  <c r="L29" i="1"/>
  <c r="L66" i="1"/>
  <c r="L34" i="1"/>
  <c r="L73" i="1"/>
  <c r="L41" i="1"/>
  <c r="L68" i="1"/>
  <c r="L52" i="1"/>
  <c r="L36" i="1"/>
  <c r="L71" i="1"/>
  <c r="L55" i="1"/>
  <c r="L39" i="1"/>
  <c r="L28" i="1"/>
  <c r="L47" i="1"/>
  <c r="L85" i="1"/>
  <c r="L78" i="1"/>
  <c r="L74" i="1"/>
  <c r="L56" i="1"/>
  <c r="L59" i="1"/>
  <c r="L81" i="1"/>
  <c r="L76" i="1"/>
  <c r="L86" i="1"/>
  <c r="L62" i="1"/>
  <c r="L53" i="1"/>
  <c r="L70" i="1"/>
  <c r="L58" i="1"/>
  <c r="L54" i="1"/>
  <c r="L65" i="1"/>
  <c r="L33" i="1"/>
  <c r="L64" i="1"/>
  <c r="L48" i="1"/>
  <c r="L32" i="1"/>
  <c r="L67" i="1"/>
  <c r="L51" i="1"/>
  <c r="L35" i="1"/>
  <c r="L44" i="1"/>
  <c r="L79" i="1"/>
  <c r="L69" i="1"/>
  <c r="L42" i="1"/>
  <c r="L72" i="1"/>
  <c r="L40" i="1"/>
  <c r="L43" i="1"/>
  <c r="L77" i="1"/>
  <c r="L83" i="1"/>
  <c r="L82" i="1"/>
  <c r="L38" i="1"/>
  <c r="L45" i="1"/>
  <c r="L46" i="1"/>
  <c r="L50" i="1"/>
  <c r="L30" i="1"/>
  <c r="L57" i="1"/>
  <c r="L60" i="1"/>
  <c r="L63" i="1"/>
  <c r="L84" i="1"/>
  <c r="L37" i="1"/>
  <c r="L49" i="1"/>
  <c r="L27" i="1"/>
  <c r="S27" i="1"/>
  <c r="S14" i="1"/>
  <c r="S18" i="1" s="1"/>
  <c r="D84" i="1"/>
  <c r="G84" i="1" s="1"/>
  <c r="D85" i="1"/>
  <c r="G85" i="1" s="1"/>
  <c r="D86" i="1"/>
  <c r="G86" i="1" s="1"/>
  <c r="D80" i="1"/>
  <c r="G80" i="1" s="1"/>
  <c r="D76" i="1"/>
  <c r="G76" i="1" s="1"/>
  <c r="D72" i="1"/>
  <c r="G72" i="1" s="1"/>
  <c r="D68" i="1"/>
  <c r="G68" i="1" s="1"/>
  <c r="D64" i="1"/>
  <c r="G64" i="1" s="1"/>
  <c r="D60" i="1"/>
  <c r="G60" i="1" s="1"/>
  <c r="D56" i="1"/>
  <c r="G56" i="1" s="1"/>
  <c r="D52" i="1"/>
  <c r="G52" i="1" s="1"/>
  <c r="D48" i="1"/>
  <c r="G48" i="1" s="1"/>
  <c r="D44" i="1"/>
  <c r="G44" i="1" s="1"/>
  <c r="D40" i="1"/>
  <c r="G40" i="1" s="1"/>
  <c r="D36" i="1"/>
  <c r="G36" i="1" s="1"/>
  <c r="D32" i="1"/>
  <c r="G32" i="1" s="1"/>
  <c r="D28" i="1"/>
  <c r="D79" i="1"/>
  <c r="G79" i="1" s="1"/>
  <c r="D71" i="1"/>
  <c r="G71" i="1" s="1"/>
  <c r="D63" i="1"/>
  <c r="G63" i="1" s="1"/>
  <c r="D55" i="1"/>
  <c r="G55" i="1" s="1"/>
  <c r="D47" i="1"/>
  <c r="G47" i="1" s="1"/>
  <c r="D43" i="1"/>
  <c r="G43" i="1" s="1"/>
  <c r="D35" i="1"/>
  <c r="G35" i="1" s="1"/>
  <c r="D78" i="1"/>
  <c r="G78" i="1" s="1"/>
  <c r="D70" i="1"/>
  <c r="G70" i="1" s="1"/>
  <c r="D62" i="1"/>
  <c r="G62" i="1" s="1"/>
  <c r="D54" i="1"/>
  <c r="G54" i="1" s="1"/>
  <c r="D42" i="1"/>
  <c r="G42" i="1" s="1"/>
  <c r="D83" i="1"/>
  <c r="G83" i="1" s="1"/>
  <c r="D75" i="1"/>
  <c r="G75" i="1" s="1"/>
  <c r="D67" i="1"/>
  <c r="G67" i="1" s="1"/>
  <c r="D59" i="1"/>
  <c r="G59" i="1" s="1"/>
  <c r="D51" i="1"/>
  <c r="G51" i="1" s="1"/>
  <c r="D39" i="1"/>
  <c r="G39" i="1" s="1"/>
  <c r="D31" i="1"/>
  <c r="G31" i="1" s="1"/>
  <c r="D27" i="1"/>
  <c r="D82" i="1"/>
  <c r="G82" i="1" s="1"/>
  <c r="D74" i="1"/>
  <c r="G74" i="1" s="1"/>
  <c r="D66" i="1"/>
  <c r="G66" i="1" s="1"/>
  <c r="D58" i="1"/>
  <c r="G58" i="1" s="1"/>
  <c r="D50" i="1"/>
  <c r="G50" i="1" s="1"/>
  <c r="D46" i="1"/>
  <c r="G46" i="1" s="1"/>
  <c r="D38" i="1"/>
  <c r="G38" i="1" s="1"/>
  <c r="D34" i="1"/>
  <c r="G34" i="1" s="1"/>
  <c r="D30" i="1"/>
  <c r="G30" i="1" s="1"/>
  <c r="E18" i="1"/>
  <c r="D81" i="1"/>
  <c r="G81" i="1" s="1"/>
  <c r="D77" i="1"/>
  <c r="G77" i="1" s="1"/>
  <c r="D73" i="1"/>
  <c r="G73" i="1" s="1"/>
  <c r="D69" i="1"/>
  <c r="G69" i="1" s="1"/>
  <c r="D65" i="1"/>
  <c r="G65" i="1" s="1"/>
  <c r="D61" i="1"/>
  <c r="G61" i="1" s="1"/>
  <c r="D57" i="1"/>
  <c r="G57" i="1" s="1"/>
  <c r="D53" i="1"/>
  <c r="G53" i="1" s="1"/>
  <c r="D49" i="1"/>
  <c r="G49" i="1" s="1"/>
  <c r="D45" i="1"/>
  <c r="G45" i="1" s="1"/>
  <c r="D41" i="1"/>
  <c r="G41" i="1" s="1"/>
  <c r="D37" i="1"/>
  <c r="G37" i="1" s="1"/>
  <c r="D33" i="1"/>
  <c r="G33" i="1" s="1"/>
  <c r="D29" i="1"/>
  <c r="G29" i="1" s="1"/>
  <c r="O63" i="1" l="1"/>
  <c r="O82" i="1"/>
  <c r="O79" i="1"/>
  <c r="O33" i="1"/>
  <c r="O76" i="1"/>
  <c r="O28" i="1"/>
  <c r="O73" i="1"/>
  <c r="O49" i="1"/>
  <c r="O60" i="1"/>
  <c r="O46" i="1"/>
  <c r="O83" i="1"/>
  <c r="O72" i="1"/>
  <c r="O44" i="1"/>
  <c r="O32" i="1"/>
  <c r="O65" i="1"/>
  <c r="O53" i="1"/>
  <c r="O81" i="1"/>
  <c r="O78" i="1"/>
  <c r="O39" i="1"/>
  <c r="O52" i="1"/>
  <c r="O34" i="1"/>
  <c r="O75" i="1"/>
  <c r="O27" i="1"/>
  <c r="M27" i="1"/>
  <c r="K28" i="1" s="1"/>
  <c r="N28" i="1" s="1"/>
  <c r="M28" i="1" s="1"/>
  <c r="K29" i="1" s="1"/>
  <c r="N29" i="1" s="1"/>
  <c r="M29" i="1" s="1"/>
  <c r="K30" i="1" s="1"/>
  <c r="N30" i="1" s="1"/>
  <c r="M30" i="1" s="1"/>
  <c r="K31" i="1" s="1"/>
  <c r="N31" i="1" s="1"/>
  <c r="M31" i="1" s="1"/>
  <c r="K32" i="1" s="1"/>
  <c r="N32" i="1" s="1"/>
  <c r="M32" i="1" s="1"/>
  <c r="K33" i="1" s="1"/>
  <c r="N33" i="1" s="1"/>
  <c r="M33" i="1" s="1"/>
  <c r="K34" i="1" s="1"/>
  <c r="N34" i="1" s="1"/>
  <c r="M34" i="1" s="1"/>
  <c r="K35" i="1" s="1"/>
  <c r="N35" i="1" s="1"/>
  <c r="M35" i="1" s="1"/>
  <c r="K36" i="1" s="1"/>
  <c r="N36" i="1" s="1"/>
  <c r="M36" i="1" s="1"/>
  <c r="K37" i="1" s="1"/>
  <c r="N37" i="1" s="1"/>
  <c r="M37" i="1" s="1"/>
  <c r="K38" i="1" s="1"/>
  <c r="N38" i="1" s="1"/>
  <c r="M38" i="1" s="1"/>
  <c r="K39" i="1" s="1"/>
  <c r="N39" i="1" s="1"/>
  <c r="M39" i="1" s="1"/>
  <c r="K40" i="1" s="1"/>
  <c r="N40" i="1" s="1"/>
  <c r="M40" i="1" s="1"/>
  <c r="K41" i="1" s="1"/>
  <c r="N41" i="1" s="1"/>
  <c r="M41" i="1" s="1"/>
  <c r="K42" i="1" s="1"/>
  <c r="N42" i="1" s="1"/>
  <c r="M42" i="1" s="1"/>
  <c r="K43" i="1" s="1"/>
  <c r="N43" i="1" s="1"/>
  <c r="M43" i="1" s="1"/>
  <c r="K44" i="1" s="1"/>
  <c r="N44" i="1" s="1"/>
  <c r="M44" i="1" s="1"/>
  <c r="K45" i="1" s="1"/>
  <c r="N45" i="1" s="1"/>
  <c r="M45" i="1" s="1"/>
  <c r="K46" i="1" s="1"/>
  <c r="N46" i="1" s="1"/>
  <c r="M46" i="1" s="1"/>
  <c r="K47" i="1" s="1"/>
  <c r="N47" i="1" s="1"/>
  <c r="M47" i="1" s="1"/>
  <c r="K48" i="1" s="1"/>
  <c r="N48" i="1" s="1"/>
  <c r="M48" i="1" s="1"/>
  <c r="K49" i="1" s="1"/>
  <c r="N49" i="1" s="1"/>
  <c r="M49" i="1" s="1"/>
  <c r="K50" i="1" s="1"/>
  <c r="N50" i="1" s="1"/>
  <c r="M50" i="1" s="1"/>
  <c r="K51" i="1" s="1"/>
  <c r="N51" i="1" s="1"/>
  <c r="M51" i="1" s="1"/>
  <c r="K52" i="1" s="1"/>
  <c r="N52" i="1" s="1"/>
  <c r="M52" i="1" s="1"/>
  <c r="K53" i="1" s="1"/>
  <c r="N53" i="1" s="1"/>
  <c r="M53" i="1" s="1"/>
  <c r="K54" i="1" s="1"/>
  <c r="N54" i="1" s="1"/>
  <c r="M54" i="1" s="1"/>
  <c r="K55" i="1" s="1"/>
  <c r="N55" i="1" s="1"/>
  <c r="M55" i="1" s="1"/>
  <c r="K56" i="1" s="1"/>
  <c r="N56" i="1" s="1"/>
  <c r="M56" i="1" s="1"/>
  <c r="K57" i="1" s="1"/>
  <c r="N57" i="1" s="1"/>
  <c r="M57" i="1" s="1"/>
  <c r="K58" i="1" s="1"/>
  <c r="N58" i="1" s="1"/>
  <c r="M58" i="1" s="1"/>
  <c r="K59" i="1" s="1"/>
  <c r="N59" i="1" s="1"/>
  <c r="M59" i="1" s="1"/>
  <c r="K60" i="1" s="1"/>
  <c r="N60" i="1" s="1"/>
  <c r="M60" i="1" s="1"/>
  <c r="K61" i="1" s="1"/>
  <c r="N61" i="1" s="1"/>
  <c r="M61" i="1" s="1"/>
  <c r="K62" i="1" s="1"/>
  <c r="N62" i="1" s="1"/>
  <c r="M62" i="1" s="1"/>
  <c r="K63" i="1" s="1"/>
  <c r="N63" i="1" s="1"/>
  <c r="M63" i="1" s="1"/>
  <c r="K64" i="1" s="1"/>
  <c r="N64" i="1" s="1"/>
  <c r="M64" i="1" s="1"/>
  <c r="K65" i="1" s="1"/>
  <c r="N65" i="1" s="1"/>
  <c r="M65" i="1" s="1"/>
  <c r="K66" i="1" s="1"/>
  <c r="N66" i="1" s="1"/>
  <c r="M66" i="1" s="1"/>
  <c r="K67" i="1" s="1"/>
  <c r="N67" i="1" s="1"/>
  <c r="M67" i="1" s="1"/>
  <c r="K68" i="1" s="1"/>
  <c r="N68" i="1" s="1"/>
  <c r="M68" i="1" s="1"/>
  <c r="K69" i="1" s="1"/>
  <c r="N69" i="1" s="1"/>
  <c r="M69" i="1" s="1"/>
  <c r="K70" i="1" s="1"/>
  <c r="N70" i="1" s="1"/>
  <c r="M70" i="1" s="1"/>
  <c r="K71" i="1" s="1"/>
  <c r="N71" i="1" s="1"/>
  <c r="M71" i="1" s="1"/>
  <c r="K72" i="1" s="1"/>
  <c r="N72" i="1" s="1"/>
  <c r="M72" i="1" s="1"/>
  <c r="K73" i="1" s="1"/>
  <c r="N73" i="1" s="1"/>
  <c r="M73" i="1" s="1"/>
  <c r="K74" i="1" s="1"/>
  <c r="N74" i="1" s="1"/>
  <c r="M74" i="1" s="1"/>
  <c r="K75" i="1" s="1"/>
  <c r="N75" i="1" s="1"/>
  <c r="M75" i="1" s="1"/>
  <c r="K76" i="1" s="1"/>
  <c r="N76" i="1" s="1"/>
  <c r="M76" i="1" s="1"/>
  <c r="K77" i="1" s="1"/>
  <c r="N77" i="1" s="1"/>
  <c r="M77" i="1" s="1"/>
  <c r="K78" i="1" s="1"/>
  <c r="N78" i="1" s="1"/>
  <c r="M78" i="1" s="1"/>
  <c r="K79" i="1" s="1"/>
  <c r="N79" i="1" s="1"/>
  <c r="M79" i="1" s="1"/>
  <c r="K80" i="1" s="1"/>
  <c r="N80" i="1" s="1"/>
  <c r="M80" i="1" s="1"/>
  <c r="K81" i="1" s="1"/>
  <c r="N81" i="1" s="1"/>
  <c r="M81" i="1" s="1"/>
  <c r="K82" i="1" s="1"/>
  <c r="N82" i="1" s="1"/>
  <c r="M82" i="1" s="1"/>
  <c r="K83" i="1" s="1"/>
  <c r="N83" i="1" s="1"/>
  <c r="M83" i="1" s="1"/>
  <c r="K84" i="1" s="1"/>
  <c r="N84" i="1" s="1"/>
  <c r="M84" i="1" s="1"/>
  <c r="K85" i="1" s="1"/>
  <c r="N85" i="1" s="1"/>
  <c r="M85" i="1" s="1"/>
  <c r="K86" i="1" s="1"/>
  <c r="N86" i="1" s="1"/>
  <c r="M86" i="1" s="1"/>
  <c r="K87" i="1" s="1"/>
  <c r="N87" i="1" s="1"/>
  <c r="M87" i="1" s="1"/>
  <c r="K88" i="1" s="1"/>
  <c r="N88" i="1" s="1"/>
  <c r="M88" i="1" s="1"/>
  <c r="K89" i="1" s="1"/>
  <c r="N89" i="1" s="1"/>
  <c r="M89" i="1" s="1"/>
  <c r="K90" i="1" s="1"/>
  <c r="N90" i="1" s="1"/>
  <c r="M90" i="1" s="1"/>
  <c r="K91" i="1" s="1"/>
  <c r="N91" i="1" s="1"/>
  <c r="M91" i="1" s="1"/>
  <c r="K92" i="1" s="1"/>
  <c r="N92" i="1" s="1"/>
  <c r="M92" i="1" s="1"/>
  <c r="K93" i="1" s="1"/>
  <c r="N93" i="1" s="1"/>
  <c r="M93" i="1" s="1"/>
  <c r="K94" i="1" s="1"/>
  <c r="N94" i="1" s="1"/>
  <c r="M94" i="1" s="1"/>
  <c r="K95" i="1" s="1"/>
  <c r="N95" i="1" s="1"/>
  <c r="M95" i="1" s="1"/>
  <c r="K96" i="1" s="1"/>
  <c r="N96" i="1" s="1"/>
  <c r="M96" i="1" s="1"/>
  <c r="K97" i="1" s="1"/>
  <c r="N97" i="1" s="1"/>
  <c r="M97" i="1" s="1"/>
  <c r="K98" i="1" s="1"/>
  <c r="N98" i="1" s="1"/>
  <c r="M98" i="1" s="1"/>
  <c r="K99" i="1" s="1"/>
  <c r="N99" i="1" s="1"/>
  <c r="M99" i="1" s="1"/>
  <c r="K100" i="1" s="1"/>
  <c r="N100" i="1" s="1"/>
  <c r="M100" i="1" s="1"/>
  <c r="K101" i="1" s="1"/>
  <c r="N101" i="1" s="1"/>
  <c r="M101" i="1" s="1"/>
  <c r="K102" i="1" s="1"/>
  <c r="N102" i="1" s="1"/>
  <c r="M102" i="1" s="1"/>
  <c r="K103" i="1" s="1"/>
  <c r="N103" i="1" s="1"/>
  <c r="M103" i="1" s="1"/>
  <c r="K104" i="1" s="1"/>
  <c r="N104" i="1" s="1"/>
  <c r="M104" i="1" s="1"/>
  <c r="K105" i="1" s="1"/>
  <c r="N105" i="1" s="1"/>
  <c r="M105" i="1" s="1"/>
  <c r="K106" i="1" s="1"/>
  <c r="N106" i="1" s="1"/>
  <c r="M106" i="1" s="1"/>
  <c r="K107" i="1" s="1"/>
  <c r="N107" i="1" s="1"/>
  <c r="M107" i="1" s="1"/>
  <c r="K108" i="1" s="1"/>
  <c r="N108" i="1" s="1"/>
  <c r="M108" i="1" s="1"/>
  <c r="K109" i="1" s="1"/>
  <c r="N109" i="1" s="1"/>
  <c r="M109" i="1" s="1"/>
  <c r="K110" i="1" s="1"/>
  <c r="N110" i="1" s="1"/>
  <c r="M110" i="1" s="1"/>
  <c r="K111" i="1" s="1"/>
  <c r="N111" i="1" s="1"/>
  <c r="M111" i="1" s="1"/>
  <c r="K112" i="1" s="1"/>
  <c r="N112" i="1" s="1"/>
  <c r="M112" i="1" s="1"/>
  <c r="K113" i="1" s="1"/>
  <c r="N113" i="1" s="1"/>
  <c r="M113" i="1" s="1"/>
  <c r="K114" i="1" s="1"/>
  <c r="N114" i="1" s="1"/>
  <c r="M114" i="1" s="1"/>
  <c r="K115" i="1" s="1"/>
  <c r="N115" i="1" s="1"/>
  <c r="M115" i="1" s="1"/>
  <c r="K116" i="1" s="1"/>
  <c r="N116" i="1" s="1"/>
  <c r="M116" i="1" s="1"/>
  <c r="K117" i="1" s="1"/>
  <c r="N117" i="1" s="1"/>
  <c r="M117" i="1" s="1"/>
  <c r="K118" i="1" s="1"/>
  <c r="N118" i="1" s="1"/>
  <c r="M118" i="1" s="1"/>
  <c r="K119" i="1" s="1"/>
  <c r="N119" i="1" s="1"/>
  <c r="M119" i="1" s="1"/>
  <c r="K120" i="1" s="1"/>
  <c r="N120" i="1" s="1"/>
  <c r="M120" i="1" s="1"/>
  <c r="K121" i="1" s="1"/>
  <c r="N121" i="1" s="1"/>
  <c r="M121" i="1" s="1"/>
  <c r="K122" i="1" s="1"/>
  <c r="N122" i="1" s="1"/>
  <c r="M122" i="1" s="1"/>
  <c r="K123" i="1" s="1"/>
  <c r="N123" i="1" s="1"/>
  <c r="M123" i="1" s="1"/>
  <c r="K124" i="1" s="1"/>
  <c r="N124" i="1" s="1"/>
  <c r="M124" i="1" s="1"/>
  <c r="K125" i="1" s="1"/>
  <c r="N125" i="1" s="1"/>
  <c r="M125" i="1" s="1"/>
  <c r="K126" i="1" s="1"/>
  <c r="N126" i="1" s="1"/>
  <c r="M126" i="1" s="1"/>
  <c r="K127" i="1" s="1"/>
  <c r="N127" i="1" s="1"/>
  <c r="M127" i="1" s="1"/>
  <c r="K128" i="1" s="1"/>
  <c r="N128" i="1" s="1"/>
  <c r="M128" i="1" s="1"/>
  <c r="K129" i="1" s="1"/>
  <c r="N129" i="1" s="1"/>
  <c r="M129" i="1" s="1"/>
  <c r="K130" i="1" s="1"/>
  <c r="N130" i="1" s="1"/>
  <c r="O50" i="1"/>
  <c r="O40" i="1"/>
  <c r="O67" i="1"/>
  <c r="O70" i="1"/>
  <c r="O74" i="1"/>
  <c r="O36" i="1"/>
  <c r="O61" i="1"/>
  <c r="O37" i="1"/>
  <c r="O57" i="1"/>
  <c r="O45" i="1"/>
  <c r="O77" i="1"/>
  <c r="O42" i="1"/>
  <c r="O35" i="1"/>
  <c r="O48" i="1"/>
  <c r="O54" i="1"/>
  <c r="O62" i="1"/>
  <c r="O59" i="1"/>
  <c r="O85" i="1"/>
  <c r="O55" i="1"/>
  <c r="O68" i="1"/>
  <c r="O66" i="1"/>
  <c r="O80" i="1"/>
  <c r="V27" i="1"/>
  <c r="M16" i="1" s="1"/>
  <c r="M17" i="1" s="1"/>
  <c r="T27" i="1"/>
  <c r="R28" i="1" s="1"/>
  <c r="U28" i="1" s="1"/>
  <c r="T28" i="1" s="1"/>
  <c r="R29" i="1" s="1"/>
  <c r="U29" i="1" s="1"/>
  <c r="T29" i="1" s="1"/>
  <c r="R30" i="1" s="1"/>
  <c r="U30" i="1" s="1"/>
  <c r="T30" i="1" s="1"/>
  <c r="R31" i="1" s="1"/>
  <c r="U31" i="1" s="1"/>
  <c r="T31" i="1" s="1"/>
  <c r="R32" i="1" s="1"/>
  <c r="U32" i="1" s="1"/>
  <c r="T32" i="1" s="1"/>
  <c r="R33" i="1" s="1"/>
  <c r="U33" i="1" s="1"/>
  <c r="T33" i="1" s="1"/>
  <c r="R34" i="1" s="1"/>
  <c r="U34" i="1" s="1"/>
  <c r="T34" i="1" s="1"/>
  <c r="R35" i="1" s="1"/>
  <c r="U35" i="1" s="1"/>
  <c r="T35" i="1" s="1"/>
  <c r="R36" i="1" s="1"/>
  <c r="U36" i="1" s="1"/>
  <c r="T36" i="1" s="1"/>
  <c r="R37" i="1" s="1"/>
  <c r="U37" i="1" s="1"/>
  <c r="T37" i="1" s="1"/>
  <c r="R38" i="1" s="1"/>
  <c r="U38" i="1" s="1"/>
  <c r="T38" i="1" s="1"/>
  <c r="R39" i="1" s="1"/>
  <c r="U39" i="1" s="1"/>
  <c r="T39" i="1" s="1"/>
  <c r="R40" i="1" s="1"/>
  <c r="U40" i="1" s="1"/>
  <c r="T40" i="1" s="1"/>
  <c r="R41" i="1" s="1"/>
  <c r="U41" i="1" s="1"/>
  <c r="T41" i="1" s="1"/>
  <c r="R42" i="1" s="1"/>
  <c r="U42" i="1" s="1"/>
  <c r="T42" i="1" s="1"/>
  <c r="R43" i="1" s="1"/>
  <c r="U43" i="1" s="1"/>
  <c r="T43" i="1" s="1"/>
  <c r="R44" i="1" s="1"/>
  <c r="U44" i="1" s="1"/>
  <c r="T44" i="1" s="1"/>
  <c r="R45" i="1" s="1"/>
  <c r="U45" i="1" s="1"/>
  <c r="T45" i="1" s="1"/>
  <c r="R46" i="1" s="1"/>
  <c r="U46" i="1" s="1"/>
  <c r="T46" i="1" s="1"/>
  <c r="R47" i="1" s="1"/>
  <c r="U47" i="1" s="1"/>
  <c r="T47" i="1" s="1"/>
  <c r="R48" i="1" s="1"/>
  <c r="U48" i="1" s="1"/>
  <c r="T48" i="1" s="1"/>
  <c r="R49" i="1" s="1"/>
  <c r="U49" i="1" s="1"/>
  <c r="T49" i="1" s="1"/>
  <c r="R50" i="1" s="1"/>
  <c r="U50" i="1" s="1"/>
  <c r="T50" i="1" s="1"/>
  <c r="R51" i="1" s="1"/>
  <c r="U51" i="1" s="1"/>
  <c r="T51" i="1" s="1"/>
  <c r="R52" i="1" s="1"/>
  <c r="U52" i="1" s="1"/>
  <c r="T52" i="1" s="1"/>
  <c r="R53" i="1" s="1"/>
  <c r="U53" i="1" s="1"/>
  <c r="T53" i="1" s="1"/>
  <c r="R54" i="1" s="1"/>
  <c r="U54" i="1" s="1"/>
  <c r="T54" i="1" s="1"/>
  <c r="R55" i="1" s="1"/>
  <c r="U55" i="1" s="1"/>
  <c r="T55" i="1" s="1"/>
  <c r="R56" i="1" s="1"/>
  <c r="U56" i="1" s="1"/>
  <c r="T56" i="1" s="1"/>
  <c r="R57" i="1" s="1"/>
  <c r="U57" i="1" s="1"/>
  <c r="T57" i="1" s="1"/>
  <c r="R58" i="1" s="1"/>
  <c r="U58" i="1" s="1"/>
  <c r="T58" i="1" s="1"/>
  <c r="R59" i="1" s="1"/>
  <c r="U59" i="1" s="1"/>
  <c r="T59" i="1" s="1"/>
  <c r="R60" i="1" s="1"/>
  <c r="U60" i="1" s="1"/>
  <c r="T60" i="1" s="1"/>
  <c r="R61" i="1" s="1"/>
  <c r="U61" i="1" s="1"/>
  <c r="T61" i="1" s="1"/>
  <c r="R62" i="1" s="1"/>
  <c r="U62" i="1" s="1"/>
  <c r="T62" i="1" s="1"/>
  <c r="R63" i="1" s="1"/>
  <c r="U63" i="1" s="1"/>
  <c r="T63" i="1" s="1"/>
  <c r="R64" i="1" s="1"/>
  <c r="U64" i="1" s="1"/>
  <c r="T64" i="1" s="1"/>
  <c r="R65" i="1" s="1"/>
  <c r="U65" i="1" s="1"/>
  <c r="T65" i="1" s="1"/>
  <c r="R66" i="1" s="1"/>
  <c r="U66" i="1" s="1"/>
  <c r="T66" i="1" s="1"/>
  <c r="R67" i="1" s="1"/>
  <c r="U67" i="1" s="1"/>
  <c r="T67" i="1" s="1"/>
  <c r="R68" i="1" s="1"/>
  <c r="U68" i="1" s="1"/>
  <c r="T68" i="1" s="1"/>
  <c r="R69" i="1" s="1"/>
  <c r="U69" i="1" s="1"/>
  <c r="T69" i="1" s="1"/>
  <c r="R70" i="1" s="1"/>
  <c r="U70" i="1" s="1"/>
  <c r="T70" i="1" s="1"/>
  <c r="R71" i="1" s="1"/>
  <c r="U71" i="1" s="1"/>
  <c r="T71" i="1" s="1"/>
  <c r="R72" i="1" s="1"/>
  <c r="U72" i="1" s="1"/>
  <c r="T72" i="1" s="1"/>
  <c r="R73" i="1" s="1"/>
  <c r="U73" i="1" s="1"/>
  <c r="T73" i="1" s="1"/>
  <c r="R74" i="1" s="1"/>
  <c r="U74" i="1" s="1"/>
  <c r="T74" i="1" s="1"/>
  <c r="R75" i="1" s="1"/>
  <c r="U75" i="1" s="1"/>
  <c r="T75" i="1" s="1"/>
  <c r="R76" i="1" s="1"/>
  <c r="U76" i="1" s="1"/>
  <c r="T76" i="1" s="1"/>
  <c r="R77" i="1" s="1"/>
  <c r="U77" i="1" s="1"/>
  <c r="T77" i="1" s="1"/>
  <c r="R78" i="1" s="1"/>
  <c r="U78" i="1" s="1"/>
  <c r="T78" i="1" s="1"/>
  <c r="R79" i="1" s="1"/>
  <c r="U79" i="1" s="1"/>
  <c r="T79" i="1" s="1"/>
  <c r="R80" i="1" s="1"/>
  <c r="U80" i="1" s="1"/>
  <c r="T80" i="1" s="1"/>
  <c r="R81" i="1" s="1"/>
  <c r="U81" i="1" s="1"/>
  <c r="T81" i="1" s="1"/>
  <c r="R82" i="1" s="1"/>
  <c r="U82" i="1" s="1"/>
  <c r="T82" i="1" s="1"/>
  <c r="R83" i="1" s="1"/>
  <c r="U83" i="1" s="1"/>
  <c r="T83" i="1" s="1"/>
  <c r="R84" i="1" s="1"/>
  <c r="U84" i="1" s="1"/>
  <c r="T84" i="1" s="1"/>
  <c r="R85" i="1" s="1"/>
  <c r="U85" i="1" s="1"/>
  <c r="T85" i="1" s="1"/>
  <c r="R86" i="1" s="1"/>
  <c r="U86" i="1" s="1"/>
  <c r="T86" i="1" s="1"/>
  <c r="R87" i="1" s="1"/>
  <c r="U87" i="1" s="1"/>
  <c r="T87" i="1" s="1"/>
  <c r="R88" i="1" s="1"/>
  <c r="U88" i="1" s="1"/>
  <c r="T88" i="1" s="1"/>
  <c r="R89" i="1" s="1"/>
  <c r="U89" i="1" s="1"/>
  <c r="T89" i="1" s="1"/>
  <c r="R90" i="1" s="1"/>
  <c r="U90" i="1" s="1"/>
  <c r="T90" i="1" s="1"/>
  <c r="R91" i="1" s="1"/>
  <c r="U91" i="1" s="1"/>
  <c r="T91" i="1" s="1"/>
  <c r="R92" i="1" s="1"/>
  <c r="U92" i="1" s="1"/>
  <c r="T92" i="1" s="1"/>
  <c r="R93" i="1" s="1"/>
  <c r="U93" i="1" s="1"/>
  <c r="T93" i="1" s="1"/>
  <c r="R94" i="1" s="1"/>
  <c r="U94" i="1" s="1"/>
  <c r="T94" i="1" s="1"/>
  <c r="R95" i="1" s="1"/>
  <c r="U95" i="1" s="1"/>
  <c r="T95" i="1" s="1"/>
  <c r="R96" i="1" s="1"/>
  <c r="U96" i="1" s="1"/>
  <c r="T96" i="1" s="1"/>
  <c r="R97" i="1" s="1"/>
  <c r="U97" i="1" s="1"/>
  <c r="T97" i="1" s="1"/>
  <c r="R98" i="1" s="1"/>
  <c r="U98" i="1" s="1"/>
  <c r="T98" i="1" s="1"/>
  <c r="R99" i="1" s="1"/>
  <c r="U99" i="1" s="1"/>
  <c r="T99" i="1" s="1"/>
  <c r="R100" i="1" s="1"/>
  <c r="U100" i="1" s="1"/>
  <c r="T100" i="1" s="1"/>
  <c r="R101" i="1" s="1"/>
  <c r="U101" i="1" s="1"/>
  <c r="T101" i="1" s="1"/>
  <c r="R102" i="1" s="1"/>
  <c r="U102" i="1" s="1"/>
  <c r="T102" i="1" s="1"/>
  <c r="R103" i="1" s="1"/>
  <c r="U103" i="1" s="1"/>
  <c r="T103" i="1" s="1"/>
  <c r="R104" i="1" s="1"/>
  <c r="U104" i="1" s="1"/>
  <c r="T104" i="1" s="1"/>
  <c r="R105" i="1" s="1"/>
  <c r="U105" i="1" s="1"/>
  <c r="T105" i="1" s="1"/>
  <c r="R106" i="1" s="1"/>
  <c r="U106" i="1" s="1"/>
  <c r="T106" i="1" s="1"/>
  <c r="R107" i="1" s="1"/>
  <c r="U107" i="1" s="1"/>
  <c r="T107" i="1" s="1"/>
  <c r="R108" i="1" s="1"/>
  <c r="U108" i="1" s="1"/>
  <c r="T108" i="1" s="1"/>
  <c r="R109" i="1" s="1"/>
  <c r="U109" i="1" s="1"/>
  <c r="T109" i="1" s="1"/>
  <c r="R110" i="1" s="1"/>
  <c r="U110" i="1" s="1"/>
  <c r="T110" i="1" s="1"/>
  <c r="R111" i="1" s="1"/>
  <c r="U111" i="1" s="1"/>
  <c r="T111" i="1" s="1"/>
  <c r="R112" i="1" s="1"/>
  <c r="U112" i="1" s="1"/>
  <c r="T112" i="1" s="1"/>
  <c r="R113" i="1" s="1"/>
  <c r="U113" i="1" s="1"/>
  <c r="T113" i="1" s="1"/>
  <c r="R114" i="1" s="1"/>
  <c r="U114" i="1" s="1"/>
  <c r="T114" i="1" s="1"/>
  <c r="R115" i="1" s="1"/>
  <c r="U115" i="1" s="1"/>
  <c r="T115" i="1" s="1"/>
  <c r="R116" i="1" s="1"/>
  <c r="U116" i="1" s="1"/>
  <c r="T116" i="1" s="1"/>
  <c r="R117" i="1" s="1"/>
  <c r="U117" i="1" s="1"/>
  <c r="T117" i="1" s="1"/>
  <c r="R118" i="1" s="1"/>
  <c r="U118" i="1" s="1"/>
  <c r="T118" i="1" s="1"/>
  <c r="R119" i="1" s="1"/>
  <c r="U119" i="1" s="1"/>
  <c r="T119" i="1" s="1"/>
  <c r="R120" i="1" s="1"/>
  <c r="U120" i="1" s="1"/>
  <c r="T120" i="1" s="1"/>
  <c r="R121" i="1" s="1"/>
  <c r="U121" i="1" s="1"/>
  <c r="T121" i="1" s="1"/>
  <c r="R122" i="1" s="1"/>
  <c r="U122" i="1" s="1"/>
  <c r="T122" i="1" s="1"/>
  <c r="R123" i="1" s="1"/>
  <c r="U123" i="1" s="1"/>
  <c r="T123" i="1" s="1"/>
  <c r="R124" i="1" s="1"/>
  <c r="U124" i="1" s="1"/>
  <c r="T124" i="1" s="1"/>
  <c r="R125" i="1" s="1"/>
  <c r="U125" i="1" s="1"/>
  <c r="T125" i="1" s="1"/>
  <c r="R126" i="1" s="1"/>
  <c r="U126" i="1" s="1"/>
  <c r="T126" i="1" s="1"/>
  <c r="R127" i="1" s="1"/>
  <c r="U127" i="1" s="1"/>
  <c r="T127" i="1" s="1"/>
  <c r="R128" i="1" s="1"/>
  <c r="U128" i="1" s="1"/>
  <c r="T128" i="1" s="1"/>
  <c r="R129" i="1" s="1"/>
  <c r="U129" i="1" s="1"/>
  <c r="T129" i="1" s="1"/>
  <c r="R130" i="1" s="1"/>
  <c r="O84" i="1"/>
  <c r="O30" i="1"/>
  <c r="O38" i="1"/>
  <c r="O43" i="1"/>
  <c r="O69" i="1"/>
  <c r="O51" i="1"/>
  <c r="O64" i="1"/>
  <c r="O58" i="1"/>
  <c r="O86" i="1"/>
  <c r="O56" i="1"/>
  <c r="O47" i="1"/>
  <c r="O71" i="1"/>
  <c r="O41" i="1"/>
  <c r="O29" i="1"/>
  <c r="O31" i="1"/>
  <c r="G27" i="1"/>
  <c r="E27" i="1"/>
  <c r="C28" i="1" s="1"/>
  <c r="F28" i="1" s="1"/>
  <c r="E28" i="1" s="1"/>
  <c r="C29" i="1" s="1"/>
  <c r="F29" i="1" s="1"/>
  <c r="E29" i="1" s="1"/>
  <c r="C30" i="1" s="1"/>
  <c r="F30" i="1" s="1"/>
  <c r="E30" i="1" s="1"/>
  <c r="C31" i="1" s="1"/>
  <c r="F31" i="1" s="1"/>
  <c r="E31" i="1" s="1"/>
  <c r="C32" i="1" s="1"/>
  <c r="F32" i="1" s="1"/>
  <c r="E32" i="1" s="1"/>
  <c r="C33" i="1" s="1"/>
  <c r="F33" i="1" s="1"/>
  <c r="E33" i="1" s="1"/>
  <c r="C34" i="1" s="1"/>
  <c r="G28" i="1"/>
  <c r="U130" i="1" l="1"/>
  <c r="T130" i="1" s="1"/>
  <c r="R131" i="1" s="1"/>
  <c r="M130" i="1"/>
  <c r="K131" i="1" s="1"/>
  <c r="N131" i="1" s="1"/>
  <c r="D22" i="1"/>
  <c r="D23" i="1" s="1"/>
  <c r="F34" i="1"/>
  <c r="E34" i="1" s="1"/>
  <c r="C35" i="1" s="1"/>
  <c r="U131" i="1" l="1"/>
  <c r="T131" i="1" s="1"/>
  <c r="R132" i="1" s="1"/>
  <c r="M131" i="1"/>
  <c r="K132" i="1" s="1"/>
  <c r="N132" i="1" s="1"/>
  <c r="F35" i="1"/>
  <c r="E35" i="1" s="1"/>
  <c r="C36" i="1" s="1"/>
  <c r="F36" i="1" s="1"/>
  <c r="E36" i="1" s="1"/>
  <c r="C37" i="1" s="1"/>
  <c r="U132" i="1" l="1"/>
  <c r="T132" i="1" s="1"/>
  <c r="R133" i="1" s="1"/>
  <c r="M132" i="1"/>
  <c r="K133" i="1" s="1"/>
  <c r="N133" i="1" s="1"/>
  <c r="F37" i="1"/>
  <c r="E37" i="1" s="1"/>
  <c r="C38" i="1" s="1"/>
  <c r="F38" i="1" s="1"/>
  <c r="E38" i="1" s="1"/>
  <c r="C39" i="1" s="1"/>
  <c r="F39" i="1" s="1"/>
  <c r="E39" i="1" s="1"/>
  <c r="C40" i="1" s="1"/>
  <c r="U133" i="1" l="1"/>
  <c r="T133" i="1" s="1"/>
  <c r="R134" i="1" s="1"/>
  <c r="M133" i="1"/>
  <c r="K134" i="1" s="1"/>
  <c r="N134" i="1" s="1"/>
  <c r="F40" i="1"/>
  <c r="E40" i="1" s="1"/>
  <c r="C41" i="1" s="1"/>
  <c r="U134" i="1" l="1"/>
  <c r="T134" i="1" s="1"/>
  <c r="R135" i="1" s="1"/>
  <c r="M134" i="1"/>
  <c r="K135" i="1" s="1"/>
  <c r="N135" i="1" s="1"/>
  <c r="F41" i="1"/>
  <c r="E41" i="1" s="1"/>
  <c r="C42" i="1" s="1"/>
  <c r="U135" i="1" l="1"/>
  <c r="T135" i="1" s="1"/>
  <c r="R136" i="1" s="1"/>
  <c r="M135" i="1"/>
  <c r="K136" i="1" s="1"/>
  <c r="N136" i="1" s="1"/>
  <c r="F42" i="1"/>
  <c r="E42" i="1" s="1"/>
  <c r="C43" i="1" s="1"/>
  <c r="U136" i="1" l="1"/>
  <c r="T136" i="1" s="1"/>
  <c r="R137" i="1" s="1"/>
  <c r="M136" i="1"/>
  <c r="K137" i="1" s="1"/>
  <c r="N137" i="1" s="1"/>
  <c r="F43" i="1"/>
  <c r="E43" i="1" s="1"/>
  <c r="C44" i="1" s="1"/>
  <c r="U137" i="1" l="1"/>
  <c r="T137" i="1" s="1"/>
  <c r="R138" i="1" s="1"/>
  <c r="M137" i="1"/>
  <c r="K138" i="1" s="1"/>
  <c r="N138" i="1" s="1"/>
  <c r="F44" i="1"/>
  <c r="E44" i="1" s="1"/>
  <c r="C45" i="1" s="1"/>
  <c r="U138" i="1" l="1"/>
  <c r="T138" i="1" s="1"/>
  <c r="R139" i="1" s="1"/>
  <c r="M138" i="1"/>
  <c r="K139" i="1" s="1"/>
  <c r="N139" i="1" s="1"/>
  <c r="F45" i="1"/>
  <c r="E45" i="1" s="1"/>
  <c r="C46" i="1" s="1"/>
  <c r="U139" i="1" l="1"/>
  <c r="T139" i="1" s="1"/>
  <c r="R140" i="1" s="1"/>
  <c r="M139" i="1"/>
  <c r="K140" i="1" s="1"/>
  <c r="N140" i="1" s="1"/>
  <c r="F46" i="1"/>
  <c r="E46" i="1" s="1"/>
  <c r="C47" i="1" s="1"/>
  <c r="U140" i="1" l="1"/>
  <c r="T140" i="1" s="1"/>
  <c r="R141" i="1" s="1"/>
  <c r="M140" i="1"/>
  <c r="K141" i="1" s="1"/>
  <c r="N141" i="1" s="1"/>
  <c r="F47" i="1"/>
  <c r="E47" i="1" s="1"/>
  <c r="C48" i="1" s="1"/>
  <c r="U141" i="1" l="1"/>
  <c r="T141" i="1" s="1"/>
  <c r="R142" i="1" s="1"/>
  <c r="M141" i="1"/>
  <c r="K142" i="1" s="1"/>
  <c r="N142" i="1" s="1"/>
  <c r="F48" i="1"/>
  <c r="E48" i="1" s="1"/>
  <c r="C49" i="1" s="1"/>
  <c r="U142" i="1" l="1"/>
  <c r="T142" i="1" s="1"/>
  <c r="R143" i="1" s="1"/>
  <c r="M142" i="1"/>
  <c r="K143" i="1" s="1"/>
  <c r="N143" i="1" s="1"/>
  <c r="F49" i="1"/>
  <c r="E49" i="1" s="1"/>
  <c r="C50" i="1" s="1"/>
  <c r="U143" i="1" l="1"/>
  <c r="T143" i="1" s="1"/>
  <c r="R144" i="1" s="1"/>
  <c r="M143" i="1"/>
  <c r="K144" i="1" s="1"/>
  <c r="N144" i="1" s="1"/>
  <c r="F50" i="1"/>
  <c r="E50" i="1" s="1"/>
  <c r="C51" i="1" s="1"/>
  <c r="U144" i="1" l="1"/>
  <c r="T144" i="1" s="1"/>
  <c r="R145" i="1" s="1"/>
  <c r="M144" i="1"/>
  <c r="K145" i="1" s="1"/>
  <c r="N145" i="1" s="1"/>
  <c r="F51" i="1"/>
  <c r="E51" i="1" s="1"/>
  <c r="C52" i="1" s="1"/>
  <c r="U145" i="1" l="1"/>
  <c r="T145" i="1" s="1"/>
  <c r="R146" i="1" s="1"/>
  <c r="U146" i="1" s="1"/>
  <c r="T146" i="1" s="1"/>
  <c r="M145" i="1"/>
  <c r="K146" i="1" s="1"/>
  <c r="F52" i="1"/>
  <c r="E52" i="1" s="1"/>
  <c r="C53" i="1" s="1"/>
  <c r="N146" i="1" l="1"/>
  <c r="M146" i="1" s="1"/>
  <c r="F53" i="1"/>
  <c r="E53" i="1" s="1"/>
  <c r="C54" i="1" s="1"/>
  <c r="F54" i="1" l="1"/>
  <c r="E54" i="1" s="1"/>
  <c r="C55" i="1" s="1"/>
  <c r="F55" i="1" l="1"/>
  <c r="E55" i="1" s="1"/>
  <c r="C56" i="1" s="1"/>
  <c r="F56" i="1" l="1"/>
  <c r="E56" i="1" s="1"/>
  <c r="C57" i="1" s="1"/>
  <c r="F57" i="1" l="1"/>
  <c r="E57" i="1" s="1"/>
  <c r="C58" i="1" s="1"/>
  <c r="F58" i="1" l="1"/>
  <c r="E58" i="1" s="1"/>
  <c r="C59" i="1" s="1"/>
  <c r="F59" i="1" l="1"/>
  <c r="E59" i="1" s="1"/>
  <c r="C60" i="1" s="1"/>
  <c r="F60" i="1" l="1"/>
  <c r="E60" i="1" s="1"/>
  <c r="C61" i="1" s="1"/>
  <c r="F61" i="1" l="1"/>
  <c r="E61" i="1" s="1"/>
  <c r="C62" i="1" s="1"/>
  <c r="F62" i="1" l="1"/>
  <c r="E62" i="1" s="1"/>
  <c r="C63" i="1" s="1"/>
  <c r="F63" i="1" l="1"/>
  <c r="E63" i="1" s="1"/>
  <c r="C64" i="1" s="1"/>
  <c r="F64" i="1" l="1"/>
  <c r="E64" i="1" s="1"/>
  <c r="C65" i="1" s="1"/>
  <c r="F65" i="1" l="1"/>
  <c r="E65" i="1" s="1"/>
  <c r="C66" i="1" s="1"/>
  <c r="F66" i="1" l="1"/>
  <c r="E66" i="1" s="1"/>
  <c r="C67" i="1" s="1"/>
  <c r="F67" i="1" l="1"/>
  <c r="E67" i="1" s="1"/>
  <c r="C68" i="1" s="1"/>
  <c r="F68" i="1" l="1"/>
  <c r="E68" i="1" s="1"/>
  <c r="C69" i="1" s="1"/>
  <c r="F69" i="1" l="1"/>
  <c r="E69" i="1" s="1"/>
  <c r="C70" i="1" s="1"/>
  <c r="F70" i="1" l="1"/>
  <c r="E70" i="1" s="1"/>
  <c r="C71" i="1" s="1"/>
  <c r="F71" i="1" l="1"/>
  <c r="E71" i="1" s="1"/>
  <c r="C72" i="1" s="1"/>
  <c r="F72" i="1" l="1"/>
  <c r="E72" i="1" s="1"/>
  <c r="C73" i="1" s="1"/>
  <c r="F73" i="1" l="1"/>
  <c r="E73" i="1" s="1"/>
  <c r="C74" i="1" s="1"/>
  <c r="F74" i="1" l="1"/>
  <c r="E74" i="1" s="1"/>
  <c r="C75" i="1" s="1"/>
  <c r="F75" i="1" l="1"/>
  <c r="E75" i="1" s="1"/>
  <c r="C76" i="1" s="1"/>
  <c r="F76" i="1" l="1"/>
  <c r="E76" i="1" s="1"/>
  <c r="C77" i="1" s="1"/>
  <c r="F77" i="1" l="1"/>
  <c r="E77" i="1" s="1"/>
  <c r="C78" i="1" s="1"/>
  <c r="F78" i="1" l="1"/>
  <c r="E78" i="1" s="1"/>
  <c r="C79" i="1" s="1"/>
  <c r="F79" i="1" l="1"/>
  <c r="E79" i="1" s="1"/>
  <c r="C80" i="1" s="1"/>
  <c r="F80" i="1" l="1"/>
  <c r="E80" i="1" s="1"/>
  <c r="C81" i="1" s="1"/>
  <c r="F81" i="1" l="1"/>
  <c r="E81" i="1" s="1"/>
  <c r="C82" i="1" s="1"/>
  <c r="F82" i="1" l="1"/>
  <c r="E82" i="1" s="1"/>
  <c r="C83" i="1" s="1"/>
  <c r="F83" i="1" l="1"/>
  <c r="E83" i="1" s="1"/>
  <c r="C84" i="1" s="1"/>
  <c r="F84" i="1" l="1"/>
  <c r="E84" i="1" s="1"/>
  <c r="C85" i="1" s="1"/>
  <c r="F85" i="1" l="1"/>
  <c r="E85" i="1" s="1"/>
  <c r="C86" i="1" s="1"/>
  <c r="F86" i="1" l="1"/>
  <c r="E86" i="1" s="1"/>
  <c r="C87" i="1" s="1"/>
  <c r="F87" i="1" l="1"/>
  <c r="E87" i="1" s="1"/>
  <c r="C88" i="1" s="1"/>
  <c r="F88" i="1" l="1"/>
  <c r="E88" i="1" s="1"/>
  <c r="C89" i="1" s="1"/>
  <c r="F89" i="1" l="1"/>
  <c r="E89" i="1" s="1"/>
  <c r="C90" i="1" s="1"/>
  <c r="F90" i="1" l="1"/>
  <c r="E90" i="1" s="1"/>
  <c r="C91" i="1" s="1"/>
  <c r="F91" i="1" l="1"/>
  <c r="E91" i="1" s="1"/>
  <c r="C92" i="1" s="1"/>
  <c r="F92" i="1" l="1"/>
  <c r="E92" i="1" s="1"/>
  <c r="C93" i="1" s="1"/>
  <c r="F93" i="1" l="1"/>
  <c r="E93" i="1" s="1"/>
  <c r="C94" i="1" s="1"/>
  <c r="F94" i="1" l="1"/>
  <c r="E94" i="1" s="1"/>
  <c r="C95" i="1" s="1"/>
  <c r="F95" i="1" l="1"/>
  <c r="E95" i="1" s="1"/>
  <c r="C96" i="1" s="1"/>
  <c r="F96" i="1" l="1"/>
  <c r="E96" i="1" s="1"/>
  <c r="C97" i="1" s="1"/>
  <c r="F97" i="1" l="1"/>
  <c r="E97" i="1" s="1"/>
  <c r="C98" i="1" s="1"/>
  <c r="F98" i="1" l="1"/>
  <c r="E98" i="1" s="1"/>
  <c r="C99" i="1" s="1"/>
  <c r="F99" i="1" l="1"/>
  <c r="E99" i="1" s="1"/>
  <c r="C100" i="1" s="1"/>
  <c r="F100" i="1" l="1"/>
  <c r="E100" i="1" s="1"/>
  <c r="C101" i="1" s="1"/>
  <c r="F101" i="1" l="1"/>
  <c r="E101" i="1" s="1"/>
  <c r="C102" i="1" s="1"/>
  <c r="F102" i="1" l="1"/>
  <c r="E102" i="1" s="1"/>
  <c r="C103" i="1" s="1"/>
  <c r="F103" i="1" l="1"/>
  <c r="E103" i="1" s="1"/>
  <c r="C104" i="1" s="1"/>
  <c r="F104" i="1" l="1"/>
  <c r="E104" i="1" s="1"/>
  <c r="C105" i="1" s="1"/>
  <c r="F105" i="1" l="1"/>
  <c r="E105" i="1" s="1"/>
  <c r="C106" i="1" s="1"/>
  <c r="F106" i="1" l="1"/>
  <c r="E106" i="1" s="1"/>
  <c r="C107" i="1" s="1"/>
  <c r="F107" i="1" l="1"/>
  <c r="E107" i="1" s="1"/>
  <c r="C108" i="1" s="1"/>
  <c r="F108" i="1" l="1"/>
  <c r="E108" i="1" s="1"/>
  <c r="C109" i="1" s="1"/>
  <c r="F109" i="1" l="1"/>
  <c r="E109" i="1" s="1"/>
  <c r="C110" i="1" s="1"/>
  <c r="F110" i="1" l="1"/>
  <c r="E110" i="1" s="1"/>
  <c r="C111" i="1" s="1"/>
  <c r="F111" i="1" l="1"/>
  <c r="E111" i="1" s="1"/>
  <c r="C112" i="1" s="1"/>
  <c r="F112" i="1" l="1"/>
  <c r="E112" i="1" s="1"/>
  <c r="C113" i="1" s="1"/>
  <c r="F113" i="1" l="1"/>
  <c r="E113" i="1" s="1"/>
  <c r="C114" i="1" s="1"/>
  <c r="F114" i="1" l="1"/>
  <c r="E114" i="1" s="1"/>
  <c r="C115" i="1" s="1"/>
  <c r="F115" i="1" l="1"/>
  <c r="E115" i="1" s="1"/>
  <c r="C116" i="1" s="1"/>
  <c r="F116" i="1" l="1"/>
  <c r="E116" i="1" s="1"/>
  <c r="C117" i="1" s="1"/>
  <c r="F117" i="1" l="1"/>
  <c r="E117" i="1" s="1"/>
  <c r="C118" i="1" s="1"/>
  <c r="F118" i="1" l="1"/>
  <c r="E118" i="1" s="1"/>
  <c r="C119" i="1" s="1"/>
  <c r="F119" i="1" l="1"/>
  <c r="E119" i="1" s="1"/>
  <c r="C120" i="1" s="1"/>
  <c r="F120" i="1" l="1"/>
  <c r="E120" i="1" s="1"/>
  <c r="C121" i="1" s="1"/>
  <c r="F121" i="1" l="1"/>
  <c r="E121" i="1" s="1"/>
  <c r="C122" i="1" s="1"/>
  <c r="F122" i="1" l="1"/>
  <c r="E122" i="1" s="1"/>
  <c r="C123" i="1" s="1"/>
  <c r="F123" i="1" l="1"/>
  <c r="E123" i="1" s="1"/>
  <c r="C124" i="1" s="1"/>
  <c r="F124" i="1" l="1"/>
  <c r="E124" i="1" s="1"/>
  <c r="C125" i="1" s="1"/>
  <c r="F125" i="1" l="1"/>
  <c r="E125" i="1" s="1"/>
  <c r="C126" i="1" s="1"/>
  <c r="F126" i="1" l="1"/>
  <c r="E126" i="1" s="1"/>
  <c r="C127" i="1" s="1"/>
  <c r="F127" i="1" l="1"/>
  <c r="E127" i="1" s="1"/>
  <c r="C128" i="1" s="1"/>
  <c r="F128" i="1" l="1"/>
  <c r="E128" i="1" s="1"/>
  <c r="C129" i="1" s="1"/>
  <c r="F129" i="1" l="1"/>
  <c r="E129" i="1" s="1"/>
  <c r="C130" i="1" s="1"/>
  <c r="F130" i="1" l="1"/>
  <c r="E130" i="1" s="1"/>
  <c r="C131" i="1" s="1"/>
  <c r="F131" i="1" l="1"/>
  <c r="E131" i="1" s="1"/>
  <c r="C132" i="1" s="1"/>
  <c r="F132" i="1" l="1"/>
  <c r="E132" i="1" s="1"/>
  <c r="C133" i="1" s="1"/>
  <c r="F133" i="1" l="1"/>
  <c r="E133" i="1" s="1"/>
  <c r="C134" i="1" s="1"/>
  <c r="F134" i="1" l="1"/>
  <c r="E134" i="1" s="1"/>
  <c r="C135" i="1" s="1"/>
  <c r="F135" i="1" l="1"/>
  <c r="E135" i="1" s="1"/>
  <c r="C136" i="1" s="1"/>
  <c r="F136" i="1" l="1"/>
  <c r="E136" i="1" s="1"/>
  <c r="C137" i="1" s="1"/>
  <c r="F137" i="1" l="1"/>
  <c r="E137" i="1" s="1"/>
  <c r="C138" i="1" s="1"/>
  <c r="F138" i="1" l="1"/>
  <c r="E138" i="1" s="1"/>
  <c r="C139" i="1" s="1"/>
  <c r="F139" i="1" l="1"/>
  <c r="E139" i="1" s="1"/>
  <c r="C140" i="1" s="1"/>
  <c r="F140" i="1" l="1"/>
  <c r="E140" i="1" s="1"/>
  <c r="C141" i="1" s="1"/>
  <c r="F141" i="1" l="1"/>
  <c r="E141" i="1" s="1"/>
  <c r="C142" i="1" s="1"/>
  <c r="F142" i="1" l="1"/>
  <c r="E142" i="1" s="1"/>
  <c r="C143" i="1" s="1"/>
  <c r="F143" i="1" l="1"/>
  <c r="E143" i="1" s="1"/>
  <c r="C144" i="1" s="1"/>
  <c r="F144" i="1" l="1"/>
  <c r="E144" i="1" s="1"/>
  <c r="C145" i="1" s="1"/>
  <c r="F145" i="1" l="1"/>
  <c r="E145" i="1" s="1"/>
  <c r="C146" i="1" s="1"/>
  <c r="F146" i="1" s="1"/>
  <c r="E146" i="1" s="1"/>
</calcChain>
</file>

<file path=xl/sharedStrings.xml><?xml version="1.0" encoding="utf-8"?>
<sst xmlns="http://schemas.openxmlformats.org/spreadsheetml/2006/main" count="44" uniqueCount="25">
  <si>
    <t>Saldo Insoluto</t>
  </si>
  <si>
    <t>Tasa</t>
  </si>
  <si>
    <t>Plazo</t>
  </si>
  <si>
    <t>Precio Venta</t>
  </si>
  <si>
    <t>Enganche Cobrado</t>
  </si>
  <si>
    <t>Monto a Financiar</t>
  </si>
  <si>
    <t>Mensualidad</t>
  </si>
  <si>
    <t>Plazo remanente</t>
  </si>
  <si>
    <t>Intereses</t>
  </si>
  <si>
    <t>SI</t>
  </si>
  <si>
    <t xml:space="preserve">Capital </t>
  </si>
  <si>
    <t>Flujo VP</t>
  </si>
  <si>
    <t>VP Mens.</t>
  </si>
  <si>
    <t>Ganancia / (Descuento)</t>
  </si>
  <si>
    <t>Calculadora para determinar monto a cobrar para cambiar un financiamiento con Tasa a MSI</t>
  </si>
  <si>
    <t>Condiciones Financiamiento con Tasa</t>
  </si>
  <si>
    <t>Esquema MSI</t>
  </si>
  <si>
    <t>Plazo a escoger</t>
  </si>
  <si>
    <t>Pago Capital</t>
  </si>
  <si>
    <t>% de Capital a Pagar</t>
  </si>
  <si>
    <t>usd</t>
  </si>
  <si>
    <t>mxn</t>
  </si>
  <si>
    <t>Tipo Cambio Fijo</t>
  </si>
  <si>
    <t>Tasa descuento WACC</t>
  </si>
  <si>
    <t>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</si>
</sst>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4" formatCode="#,##0.00%;[Red]\(#,##0.00%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70C0"/>
      <name val="Calibri"/>
      <family val="2"/>
      <scheme val="minor"/>
    </font>
    <font>
      <sz val="24"/>
      <color rgb="FF0070C0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43" fontId="0" fillId="0" borderId="0" xfId="0" applyNumberFormat="1"/>
    <xf numFmtId="0" fontId="4" fillId="3" borderId="0" xfId="0" applyFont="1" applyFill="1" applyAlignment="1">
      <alignment horizontal="center"/>
    </xf>
    <xf numFmtId="9" fontId="0" fillId="0" borderId="1" xfId="0" applyNumberFormat="1" applyBorder="1"/>
    <xf numFmtId="43" fontId="0" fillId="0" borderId="1" xfId="1" applyFont="1" applyBorder="1"/>
    <xf numFmtId="43" fontId="0" fillId="0" borderId="1" xfId="0" applyNumberFormat="1" applyBorder="1"/>
    <xf numFmtId="164" fontId="0" fillId="0" borderId="1" xfId="2" applyNumberFormat="1" applyFont="1" applyBorder="1"/>
    <xf numFmtId="164" fontId="0" fillId="0" borderId="0" xfId="2" applyNumberFormat="1" applyFont="1" applyBorder="1"/>
    <xf numFmtId="43" fontId="2" fillId="2" borderId="1" xfId="1" applyFont="1" applyFill="1" applyBorder="1" applyProtection="1">
      <protection locked="0"/>
    </xf>
    <xf numFmtId="43" fontId="2" fillId="2" borderId="1" xfId="0" applyNumberFormat="1" applyFont="1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10" fontId="2" fillId="2" borderId="1" xfId="0" applyNumberFormat="1" applyFont="1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8" fontId="0" fillId="0" borderId="1" xfId="1" applyNumberFormat="1" applyFont="1" applyBorder="1"/>
    <xf numFmtId="43" fontId="0" fillId="0" borderId="1" xfId="1" applyNumberFormat="1" applyFont="1" applyBorder="1"/>
    <xf numFmtId="43" fontId="0" fillId="0" borderId="0" xfId="1" applyFont="1"/>
    <xf numFmtId="43" fontId="8" fillId="0" borderId="2" xfId="1" applyFont="1" applyBorder="1" applyAlignment="1">
      <alignment horizontal="center" vertical="center"/>
    </xf>
    <xf numFmtId="43" fontId="8" fillId="0" borderId="3" xfId="1" applyFont="1" applyBorder="1" applyAlignment="1">
      <alignment horizontal="center" vertical="center"/>
    </xf>
    <xf numFmtId="43" fontId="8" fillId="0" borderId="4" xfId="1" applyFont="1" applyBorder="1" applyAlignment="1">
      <alignment horizontal="center" vertical="center"/>
    </xf>
    <xf numFmtId="43" fontId="8" fillId="0" borderId="5" xfId="1" applyFont="1" applyBorder="1" applyAlignment="1">
      <alignment horizontal="center" vertical="center"/>
    </xf>
    <xf numFmtId="43" fontId="8" fillId="0" borderId="6" xfId="1" applyFont="1" applyBorder="1" applyAlignment="1">
      <alignment horizontal="center" vertical="center"/>
    </xf>
    <xf numFmtId="43" fontId="8" fillId="0" borderId="7" xfId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10" fontId="7" fillId="0" borderId="2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43" fontId="7" fillId="0" borderId="2" xfId="0" applyNumberFormat="1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7</xdr:row>
          <xdr:rowOff>161925</xdr:rowOff>
        </xdr:from>
        <xdr:to>
          <xdr:col>12</xdr:col>
          <xdr:colOff>666750</xdr:colOff>
          <xdr:row>9</xdr:row>
          <xdr:rowOff>19050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4</xdr:row>
          <xdr:rowOff>95250</xdr:rowOff>
        </xdr:from>
        <xdr:to>
          <xdr:col>20</xdr:col>
          <xdr:colOff>257175</xdr:colOff>
          <xdr:row>8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88DB7-B727-4656-8890-EE1445B6D0D2}">
  <sheetPr codeName="Sheet1"/>
  <dimension ref="A1:AK148"/>
  <sheetViews>
    <sheetView showGridLines="0" tabSelected="1" workbookViewId="0">
      <selection activeCell="O13" sqref="O13"/>
    </sheetView>
  </sheetViews>
  <sheetFormatPr defaultColWidth="0" defaultRowHeight="15" zeroHeight="1" x14ac:dyDescent="0.25"/>
  <cols>
    <col min="1" max="1" width="4" bestFit="1" customWidth="1"/>
    <col min="2" max="2" width="10.5703125" bestFit="1" customWidth="1"/>
    <col min="3" max="3" width="12.42578125" bestFit="1" customWidth="1"/>
    <col min="4" max="4" width="12.5703125" bestFit="1" customWidth="1"/>
    <col min="5" max="6" width="10.5703125" bestFit="1" customWidth="1"/>
    <col min="7" max="7" width="9.42578125" bestFit="1" customWidth="1"/>
    <col min="8" max="10" width="9.140625" customWidth="1"/>
    <col min="11" max="11" width="11.28515625" bestFit="1" customWidth="1"/>
    <col min="12" max="12" width="12.5703125" bestFit="1" customWidth="1"/>
    <col min="13" max="13" width="13.42578125" bestFit="1" customWidth="1"/>
    <col min="14" max="14" width="9.140625" customWidth="1"/>
    <col min="15" max="16" width="11.5703125" bestFit="1" customWidth="1"/>
    <col min="17" max="17" width="10.5703125" bestFit="1" customWidth="1"/>
    <col min="18" max="18" width="11.5703125" bestFit="1" customWidth="1"/>
    <col min="19" max="19" width="12.5703125" bestFit="1" customWidth="1"/>
    <col min="20" max="20" width="12.28515625" customWidth="1"/>
    <col min="21" max="21" width="9.140625" customWidth="1"/>
    <col min="22" max="22" width="9.85546875" customWidth="1"/>
    <col min="23" max="23" width="9.28515625" customWidth="1"/>
    <col min="24" max="37" width="0" hidden="1" customWidth="1"/>
    <col min="38" max="16384" width="9.140625" hidden="1"/>
  </cols>
  <sheetData>
    <row r="1" spans="1:37" x14ac:dyDescent="0.25"/>
    <row r="2" spans="1:37" ht="31.5" x14ac:dyDescent="0.5">
      <c r="A2" s="25" t="s">
        <v>14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</row>
    <row r="3" spans="1:37" x14ac:dyDescent="0.25"/>
    <row r="4" spans="1:37" x14ac:dyDescent="0.25"/>
    <row r="5" spans="1:37" ht="18.75" x14ac:dyDescent="0.3">
      <c r="B5" s="26" t="s">
        <v>15</v>
      </c>
      <c r="C5" s="26"/>
      <c r="D5" s="26"/>
      <c r="E5" s="26"/>
      <c r="F5" s="26"/>
      <c r="G5" s="26"/>
      <c r="J5" s="26" t="s">
        <v>16</v>
      </c>
      <c r="K5" s="26"/>
      <c r="L5" s="26"/>
      <c r="M5" s="26"/>
      <c r="N5" s="26"/>
      <c r="O5" s="26"/>
    </row>
    <row r="6" spans="1:37" x14ac:dyDescent="0.25"/>
    <row r="7" spans="1:37" x14ac:dyDescent="0.25">
      <c r="B7" t="s">
        <v>23</v>
      </c>
      <c r="D7" s="3">
        <v>0.15</v>
      </c>
      <c r="J7" t="s">
        <v>0</v>
      </c>
      <c r="M7" s="5">
        <f>$D$16</f>
        <v>117600</v>
      </c>
    </row>
    <row r="8" spans="1:37" x14ac:dyDescent="0.25"/>
    <row r="9" spans="1:37" ht="15.75" thickBot="1" x14ac:dyDescent="0.3">
      <c r="B9" t="s">
        <v>3</v>
      </c>
      <c r="D9" s="8">
        <v>147000</v>
      </c>
      <c r="J9" t="s">
        <v>17</v>
      </c>
      <c r="N9" s="13" t="s">
        <v>24</v>
      </c>
      <c r="AK9">
        <v>12</v>
      </c>
    </row>
    <row r="10" spans="1:37" x14ac:dyDescent="0.25">
      <c r="B10" t="s">
        <v>4</v>
      </c>
      <c r="D10" s="9">
        <f>D9*20%</f>
        <v>29400</v>
      </c>
      <c r="F10" s="1"/>
      <c r="S10" s="27">
        <f>$M$13</f>
        <v>0.22520636952787487</v>
      </c>
      <c r="T10" s="28"/>
      <c r="AK10">
        <v>24</v>
      </c>
    </row>
    <row r="11" spans="1:37" x14ac:dyDescent="0.25">
      <c r="B11" t="s">
        <v>5</v>
      </c>
      <c r="D11" s="4">
        <f>D9-D10</f>
        <v>117600</v>
      </c>
      <c r="J11" t="s">
        <v>6</v>
      </c>
      <c r="M11" s="5">
        <f>M7/$N$9</f>
        <v>1960</v>
      </c>
      <c r="S11" s="29"/>
      <c r="T11" s="30"/>
      <c r="AK11">
        <v>36</v>
      </c>
    </row>
    <row r="12" spans="1:37" ht="15.75" thickBot="1" x14ac:dyDescent="0.3">
      <c r="B12" t="s">
        <v>2</v>
      </c>
      <c r="D12" s="10">
        <v>60</v>
      </c>
      <c r="S12" s="31"/>
      <c r="T12" s="32"/>
      <c r="AK12">
        <v>48</v>
      </c>
    </row>
    <row r="13" spans="1:37" ht="15.75" thickBot="1" x14ac:dyDescent="0.3">
      <c r="B13" t="s">
        <v>1</v>
      </c>
      <c r="D13" s="11">
        <v>7.9000000000000001E-2</v>
      </c>
      <c r="J13" t="s">
        <v>19</v>
      </c>
      <c r="M13" s="11">
        <v>0.22520636952787487</v>
      </c>
      <c r="AK13">
        <v>60</v>
      </c>
    </row>
    <row r="14" spans="1:37" x14ac:dyDescent="0.25">
      <c r="B14" t="s">
        <v>6</v>
      </c>
      <c r="D14" s="14">
        <f>-PMT($D$13/12,$D$12,$D$11)</f>
        <v>2378.8797969616571</v>
      </c>
      <c r="J14" t="s">
        <v>18</v>
      </c>
      <c r="M14" s="5">
        <f>M7*M13</f>
        <v>26484.269056478086</v>
      </c>
      <c r="S14" s="33">
        <f>M14</f>
        <v>26484.269056478086</v>
      </c>
      <c r="T14" s="28"/>
      <c r="U14" s="23" t="s">
        <v>20</v>
      </c>
      <c r="V14" s="24"/>
    </row>
    <row r="15" spans="1:37" x14ac:dyDescent="0.25">
      <c r="S15" s="29"/>
      <c r="T15" s="30"/>
      <c r="U15" s="23"/>
      <c r="V15" s="24"/>
    </row>
    <row r="16" spans="1:37" ht="15.75" thickBot="1" x14ac:dyDescent="0.3">
      <c r="B16" t="s">
        <v>0</v>
      </c>
      <c r="D16" s="8">
        <f>D9-D10</f>
        <v>117600</v>
      </c>
      <c r="E16" s="1"/>
      <c r="J16" t="s">
        <v>11</v>
      </c>
      <c r="M16" s="5">
        <f>SUM(V27:V146)+$M$14</f>
        <v>91115.730943522009</v>
      </c>
      <c r="S16" s="31"/>
      <c r="T16" s="32"/>
      <c r="U16" s="23"/>
      <c r="V16" s="24"/>
    </row>
    <row r="17" spans="2:22" ht="15.75" thickBot="1" x14ac:dyDescent="0.3">
      <c r="B17" t="s">
        <v>7</v>
      </c>
      <c r="D17" s="8">
        <v>60</v>
      </c>
      <c r="J17" t="s">
        <v>13</v>
      </c>
      <c r="M17" s="6">
        <f>($M$16+$M$14+$D$9-$M$7)/$D$9-1</f>
        <v>0</v>
      </c>
    </row>
    <row r="18" spans="2:22" x14ac:dyDescent="0.25">
      <c r="B18" t="s">
        <v>6</v>
      </c>
      <c r="D18" s="15">
        <f>-PMT($D$13/12,$D$17,D16)</f>
        <v>2378.8797969616571</v>
      </c>
      <c r="E18" s="12" t="str">
        <f>IF(D18=D14,"Check","Error")</f>
        <v>Check</v>
      </c>
      <c r="S18" s="17">
        <f>S14*$D$20</f>
        <v>501876.89862025972</v>
      </c>
      <c r="T18" s="18"/>
      <c r="U18" s="23" t="s">
        <v>21</v>
      </c>
      <c r="V18" s="24"/>
    </row>
    <row r="19" spans="2:22" x14ac:dyDescent="0.25">
      <c r="S19" s="19"/>
      <c r="T19" s="20"/>
      <c r="U19" s="23"/>
      <c r="V19" s="24"/>
    </row>
    <row r="20" spans="2:22" ht="15.75" thickBot="1" x14ac:dyDescent="0.3">
      <c r="B20" t="s">
        <v>22</v>
      </c>
      <c r="D20" s="8">
        <v>18.95</v>
      </c>
      <c r="S20" s="21"/>
      <c r="T20" s="22"/>
      <c r="U20" s="23"/>
      <c r="V20" s="24"/>
    </row>
    <row r="21" spans="2:22" x14ac:dyDescent="0.25">
      <c r="O21" s="16"/>
    </row>
    <row r="22" spans="2:22" x14ac:dyDescent="0.25">
      <c r="B22" t="s">
        <v>11</v>
      </c>
      <c r="D22" s="5">
        <f>SUM(G27:G146)</f>
        <v>101245.18170840658</v>
      </c>
      <c r="M22" s="1"/>
      <c r="O22" s="1"/>
      <c r="P22" s="1"/>
    </row>
    <row r="23" spans="2:22" x14ac:dyDescent="0.25">
      <c r="B23" t="s">
        <v>13</v>
      </c>
      <c r="D23" s="6">
        <f>(D22+D9-D16)/D9-1</f>
        <v>-0.11125726728975105</v>
      </c>
      <c r="M23" s="1"/>
      <c r="O23" s="1"/>
      <c r="P23" s="16"/>
      <c r="Q23" s="16"/>
    </row>
    <row r="24" spans="2:22" x14ac:dyDescent="0.25">
      <c r="D24" s="7"/>
      <c r="O24" s="1"/>
      <c r="P24" s="16"/>
    </row>
    <row r="25" spans="2:22" x14ac:dyDescent="0.25"/>
    <row r="26" spans="2:22" x14ac:dyDescent="0.25">
      <c r="B26" s="2" t="s">
        <v>2</v>
      </c>
      <c r="C26" s="2" t="s">
        <v>9</v>
      </c>
      <c r="D26" s="2" t="s">
        <v>6</v>
      </c>
      <c r="E26" s="2" t="s">
        <v>10</v>
      </c>
      <c r="F26" s="2" t="s">
        <v>8</v>
      </c>
      <c r="G26" s="2" t="s">
        <v>12</v>
      </c>
      <c r="J26" s="2" t="s">
        <v>2</v>
      </c>
      <c r="K26" s="2" t="s">
        <v>9</v>
      </c>
      <c r="L26" s="2" t="s">
        <v>6</v>
      </c>
      <c r="M26" s="2" t="s">
        <v>10</v>
      </c>
      <c r="N26" s="2" t="s">
        <v>8</v>
      </c>
      <c r="O26" s="2" t="s">
        <v>12</v>
      </c>
      <c r="Q26" s="2" t="s">
        <v>2</v>
      </c>
      <c r="R26" s="2" t="s">
        <v>9</v>
      </c>
      <c r="S26" s="2" t="s">
        <v>6</v>
      </c>
      <c r="T26" s="2" t="s">
        <v>10</v>
      </c>
      <c r="U26" s="2" t="s">
        <v>8</v>
      </c>
      <c r="V26" s="2" t="s">
        <v>12</v>
      </c>
    </row>
    <row r="27" spans="2:22" x14ac:dyDescent="0.25">
      <c r="B27">
        <v>1</v>
      </c>
      <c r="C27" s="1">
        <f>$D$16</f>
        <v>117600</v>
      </c>
      <c r="D27" s="1">
        <f t="shared" ref="D27:D58" si="0">IF($B27&lt;=$D$17,$D$18,0)</f>
        <v>2378.8797969616571</v>
      </c>
      <c r="E27" s="1">
        <f>D27-F27</f>
        <v>1604.6797969616573</v>
      </c>
      <c r="F27" s="1">
        <f>C27*$D$13/12</f>
        <v>774.19999999999993</v>
      </c>
      <c r="G27" s="1">
        <f>D27/(1+$D$7/12)^(B27-1)</f>
        <v>2378.8797969616571</v>
      </c>
      <c r="J27">
        <v>1</v>
      </c>
      <c r="K27" s="1">
        <f>$M$7</f>
        <v>117600</v>
      </c>
      <c r="L27" s="1">
        <f>IF($J27&lt;=VALUE($N$9),$M$11,0)</f>
        <v>1960</v>
      </c>
      <c r="M27" s="1">
        <f>L27-N27</f>
        <v>1960</v>
      </c>
      <c r="N27" s="1">
        <f>K27*0/12</f>
        <v>0</v>
      </c>
      <c r="O27" s="1">
        <f>L27/(1+$D$7/12)^(J27-1)</f>
        <v>1960</v>
      </c>
      <c r="Q27">
        <v>1</v>
      </c>
      <c r="R27" s="1">
        <f>$M$7-$M$14</f>
        <v>91115.730943521921</v>
      </c>
      <c r="S27" s="1">
        <f t="shared" ref="S27:S58" si="1">IF($Q27&lt;=VALUE($N$9),($M$7-$M$14)/$N$9,0)</f>
        <v>1518.5955157253654</v>
      </c>
      <c r="T27" s="1">
        <f>S27-U27</f>
        <v>1518.5955157253654</v>
      </c>
      <c r="U27" s="1">
        <f>R27*0/12</f>
        <v>0</v>
      </c>
      <c r="V27" s="1">
        <f>S27/(1+$D$7/12)^(Q27-1)</f>
        <v>1518.5955157253654</v>
      </c>
    </row>
    <row r="28" spans="2:22" x14ac:dyDescent="0.25">
      <c r="B28">
        <v>2</v>
      </c>
      <c r="C28" s="1">
        <f>C27-E27</f>
        <v>115995.32020303834</v>
      </c>
      <c r="D28" s="1">
        <f t="shared" si="0"/>
        <v>2378.8797969616571</v>
      </c>
      <c r="E28" s="1">
        <f t="shared" ref="E28:E91" si="2">D28-F28</f>
        <v>1615.2439389583215</v>
      </c>
      <c r="F28" s="1">
        <f t="shared" ref="F28:F91" si="3">C28*$D$13/12</f>
        <v>763.63585800333567</v>
      </c>
      <c r="G28" s="1">
        <f t="shared" ref="G28:G91" si="4">D28/(1+$D$7/12)^(B28-1)</f>
        <v>2349.5109105794145</v>
      </c>
      <c r="J28">
        <v>2</v>
      </c>
      <c r="K28" s="1">
        <f>K27-M27</f>
        <v>115640</v>
      </c>
      <c r="L28" s="1">
        <f t="shared" ref="L28:L91" si="5">IF($J28&lt;=VALUE($N$9),$M$11,0)</f>
        <v>1960</v>
      </c>
      <c r="M28" s="1">
        <f t="shared" ref="M28:M91" si="6">L28-N28</f>
        <v>1960</v>
      </c>
      <c r="N28" s="1">
        <f t="shared" ref="N28:N91" si="7">K28*0/12</f>
        <v>0</v>
      </c>
      <c r="O28" s="1">
        <f t="shared" ref="O28:O91" si="8">L28/(1+$D$7/12)^(J28-1)</f>
        <v>1935.8024691358025</v>
      </c>
      <c r="Q28">
        <v>2</v>
      </c>
      <c r="R28" s="1">
        <f>R27-T27</f>
        <v>89597.135427796558</v>
      </c>
      <c r="S28" s="1">
        <f t="shared" si="1"/>
        <v>1518.5955157253654</v>
      </c>
      <c r="T28" s="1">
        <f t="shared" ref="T28:T91" si="9">S28-U28</f>
        <v>1518.5955157253654</v>
      </c>
      <c r="U28" s="1">
        <f t="shared" ref="U28:U91" si="10">R28*0/12</f>
        <v>0</v>
      </c>
      <c r="V28" s="1">
        <f t="shared" ref="V28:V91" si="11">S28/(1+$D$7/12)^(Q28-1)</f>
        <v>1499.8474229386327</v>
      </c>
    </row>
    <row r="29" spans="2:22" x14ac:dyDescent="0.25">
      <c r="B29">
        <v>3</v>
      </c>
      <c r="C29" s="1">
        <f t="shared" ref="C29:C92" si="12">C28-E28</f>
        <v>114380.07626408002</v>
      </c>
      <c r="D29" s="1">
        <f t="shared" si="0"/>
        <v>2378.8797969616571</v>
      </c>
      <c r="E29" s="1">
        <f t="shared" si="2"/>
        <v>1625.8776282231302</v>
      </c>
      <c r="F29" s="1">
        <f t="shared" si="3"/>
        <v>753.00216873852685</v>
      </c>
      <c r="G29" s="1">
        <f t="shared" si="4"/>
        <v>2320.5046030413969</v>
      </c>
      <c r="J29">
        <v>3</v>
      </c>
      <c r="K29" s="1">
        <f t="shared" ref="K29:K92" si="13">K28-M28</f>
        <v>113680</v>
      </c>
      <c r="L29" s="1">
        <f t="shared" si="5"/>
        <v>1960</v>
      </c>
      <c r="M29" s="1">
        <f t="shared" si="6"/>
        <v>1960</v>
      </c>
      <c r="N29" s="1">
        <f t="shared" si="7"/>
        <v>0</v>
      </c>
      <c r="O29" s="1">
        <f t="shared" si="8"/>
        <v>1911.9036732205457</v>
      </c>
      <c r="Q29">
        <v>3</v>
      </c>
      <c r="R29" s="1">
        <f t="shared" ref="R29:R92" si="14">R28-T28</f>
        <v>88078.539912071195</v>
      </c>
      <c r="S29" s="1">
        <f t="shared" si="1"/>
        <v>1518.5955157253654</v>
      </c>
      <c r="T29" s="1">
        <f t="shared" si="9"/>
        <v>1518.5955157253654</v>
      </c>
      <c r="U29" s="1">
        <f t="shared" si="10"/>
        <v>0</v>
      </c>
      <c r="V29" s="1">
        <f t="shared" si="11"/>
        <v>1481.3307880875384</v>
      </c>
    </row>
    <row r="30" spans="2:22" x14ac:dyDescent="0.25">
      <c r="B30">
        <v>4</v>
      </c>
      <c r="C30" s="1">
        <f t="shared" si="12"/>
        <v>112754.1986358569</v>
      </c>
      <c r="D30" s="1">
        <f t="shared" si="0"/>
        <v>2378.8797969616571</v>
      </c>
      <c r="E30" s="1">
        <f t="shared" si="2"/>
        <v>1636.5813226089326</v>
      </c>
      <c r="F30" s="1">
        <f t="shared" si="3"/>
        <v>742.29847435272461</v>
      </c>
      <c r="G30" s="1">
        <f t="shared" si="4"/>
        <v>2291.8563980655777</v>
      </c>
      <c r="J30">
        <v>4</v>
      </c>
      <c r="K30" s="1">
        <f t="shared" si="13"/>
        <v>111720</v>
      </c>
      <c r="L30" s="1">
        <f t="shared" si="5"/>
        <v>1960</v>
      </c>
      <c r="M30" s="1">
        <f t="shared" si="6"/>
        <v>1960</v>
      </c>
      <c r="N30" s="1">
        <f t="shared" si="7"/>
        <v>0</v>
      </c>
      <c r="O30" s="1">
        <f t="shared" si="8"/>
        <v>1888.2999241684404</v>
      </c>
      <c r="Q30">
        <v>4</v>
      </c>
      <c r="R30" s="1">
        <f t="shared" si="14"/>
        <v>86559.944396345833</v>
      </c>
      <c r="S30" s="1">
        <f t="shared" si="1"/>
        <v>1518.5955157253654</v>
      </c>
      <c r="T30" s="1">
        <f t="shared" si="9"/>
        <v>1518.5955157253654</v>
      </c>
      <c r="U30" s="1">
        <f t="shared" si="10"/>
        <v>0</v>
      </c>
      <c r="V30" s="1">
        <f t="shared" si="11"/>
        <v>1463.0427536667048</v>
      </c>
    </row>
    <row r="31" spans="2:22" x14ac:dyDescent="0.25">
      <c r="B31">
        <v>5</v>
      </c>
      <c r="C31" s="1">
        <f t="shared" si="12"/>
        <v>111117.61731324796</v>
      </c>
      <c r="D31" s="1">
        <f t="shared" si="0"/>
        <v>2378.8797969616571</v>
      </c>
      <c r="E31" s="1">
        <f t="shared" si="2"/>
        <v>1647.3554829827749</v>
      </c>
      <c r="F31" s="1">
        <f t="shared" si="3"/>
        <v>731.52431397888233</v>
      </c>
      <c r="G31" s="1">
        <f t="shared" si="4"/>
        <v>2263.5618746326691</v>
      </c>
      <c r="J31">
        <v>5</v>
      </c>
      <c r="K31" s="1">
        <f t="shared" si="13"/>
        <v>109760</v>
      </c>
      <c r="L31" s="1">
        <f t="shared" si="5"/>
        <v>1960</v>
      </c>
      <c r="M31" s="1">
        <f t="shared" si="6"/>
        <v>1960</v>
      </c>
      <c r="N31" s="1">
        <f t="shared" si="7"/>
        <v>0</v>
      </c>
      <c r="O31" s="1">
        <f t="shared" si="8"/>
        <v>1864.98757942562</v>
      </c>
      <c r="Q31">
        <v>5</v>
      </c>
      <c r="R31" s="1">
        <f t="shared" si="14"/>
        <v>85041.34888062047</v>
      </c>
      <c r="S31" s="1">
        <f t="shared" si="1"/>
        <v>1518.5955157253654</v>
      </c>
      <c r="T31" s="1">
        <f t="shared" si="9"/>
        <v>1518.5955157253654</v>
      </c>
      <c r="U31" s="1">
        <f t="shared" si="10"/>
        <v>0</v>
      </c>
      <c r="V31" s="1">
        <f t="shared" si="11"/>
        <v>1444.9804974485971</v>
      </c>
    </row>
    <row r="32" spans="2:22" x14ac:dyDescent="0.25">
      <c r="B32">
        <v>6</v>
      </c>
      <c r="C32" s="1">
        <f t="shared" si="12"/>
        <v>109470.26183026518</v>
      </c>
      <c r="D32" s="1">
        <f t="shared" si="0"/>
        <v>2378.8797969616571</v>
      </c>
      <c r="E32" s="1">
        <f t="shared" si="2"/>
        <v>1658.2005732457446</v>
      </c>
      <c r="F32" s="1">
        <f t="shared" si="3"/>
        <v>720.67922371591249</v>
      </c>
      <c r="G32" s="1">
        <f t="shared" si="4"/>
        <v>2235.6166663038707</v>
      </c>
      <c r="J32">
        <v>6</v>
      </c>
      <c r="K32" s="1">
        <f t="shared" si="13"/>
        <v>107800</v>
      </c>
      <c r="L32" s="1">
        <f t="shared" si="5"/>
        <v>1960</v>
      </c>
      <c r="M32" s="1">
        <f t="shared" si="6"/>
        <v>1960</v>
      </c>
      <c r="N32" s="1">
        <f t="shared" si="7"/>
        <v>0</v>
      </c>
      <c r="O32" s="1">
        <f t="shared" si="8"/>
        <v>1841.96304140802</v>
      </c>
      <c r="Q32">
        <v>6</v>
      </c>
      <c r="R32" s="1">
        <f t="shared" si="14"/>
        <v>83522.753364895107</v>
      </c>
      <c r="S32" s="1">
        <f t="shared" si="1"/>
        <v>1518.5955157253654</v>
      </c>
      <c r="T32" s="1">
        <f t="shared" si="9"/>
        <v>1518.5955157253654</v>
      </c>
      <c r="U32" s="1">
        <f t="shared" si="10"/>
        <v>0</v>
      </c>
      <c r="V32" s="1">
        <f t="shared" si="11"/>
        <v>1427.1412320479974</v>
      </c>
    </row>
    <row r="33" spans="2:22" x14ac:dyDescent="0.25">
      <c r="B33">
        <v>7</v>
      </c>
      <c r="C33" s="1">
        <f t="shared" si="12"/>
        <v>107812.06125701944</v>
      </c>
      <c r="D33" s="1">
        <f t="shared" si="0"/>
        <v>2378.8797969616571</v>
      </c>
      <c r="E33" s="1">
        <f t="shared" si="2"/>
        <v>1669.1170603529458</v>
      </c>
      <c r="F33" s="1">
        <f t="shared" si="3"/>
        <v>709.76273660871129</v>
      </c>
      <c r="G33" s="1">
        <f t="shared" si="4"/>
        <v>2208.0164605470331</v>
      </c>
      <c r="J33">
        <v>7</v>
      </c>
      <c r="K33" s="1">
        <f t="shared" si="13"/>
        <v>105840</v>
      </c>
      <c r="L33" s="1">
        <f t="shared" si="5"/>
        <v>1960</v>
      </c>
      <c r="M33" s="1">
        <f t="shared" si="6"/>
        <v>1960</v>
      </c>
      <c r="N33" s="1">
        <f t="shared" si="7"/>
        <v>0</v>
      </c>
      <c r="O33" s="1">
        <f t="shared" si="8"/>
        <v>1819.2227569461925</v>
      </c>
      <c r="Q33">
        <v>7</v>
      </c>
      <c r="R33" s="1">
        <f t="shared" si="14"/>
        <v>82004.157849169744</v>
      </c>
      <c r="S33" s="1">
        <f t="shared" si="1"/>
        <v>1518.5955157253654</v>
      </c>
      <c r="T33" s="1">
        <f t="shared" si="9"/>
        <v>1518.5955157253654</v>
      </c>
      <c r="U33" s="1">
        <f t="shared" si="10"/>
        <v>0</v>
      </c>
      <c r="V33" s="1">
        <f t="shared" si="11"/>
        <v>1409.5222044918492</v>
      </c>
    </row>
    <row r="34" spans="2:22" x14ac:dyDescent="0.25">
      <c r="B34">
        <v>8</v>
      </c>
      <c r="C34" s="1">
        <f t="shared" si="12"/>
        <v>106142.94419666649</v>
      </c>
      <c r="D34" s="1">
        <f t="shared" si="0"/>
        <v>2378.8797969616571</v>
      </c>
      <c r="E34" s="1">
        <f t="shared" si="2"/>
        <v>1680.1054143336028</v>
      </c>
      <c r="F34" s="1">
        <f t="shared" si="3"/>
        <v>698.77438262805435</v>
      </c>
      <c r="G34" s="1">
        <f t="shared" si="4"/>
        <v>2180.7569980711442</v>
      </c>
      <c r="J34">
        <v>8</v>
      </c>
      <c r="K34" s="1">
        <f t="shared" si="13"/>
        <v>103880</v>
      </c>
      <c r="L34" s="1">
        <f t="shared" si="5"/>
        <v>1960</v>
      </c>
      <c r="M34" s="1">
        <f t="shared" si="6"/>
        <v>1960</v>
      </c>
      <c r="N34" s="1">
        <f t="shared" si="7"/>
        <v>0</v>
      </c>
      <c r="O34" s="1">
        <f t="shared" si="8"/>
        <v>1796.7632167369804</v>
      </c>
      <c r="Q34">
        <v>8</v>
      </c>
      <c r="R34" s="1">
        <f t="shared" si="14"/>
        <v>80485.562333444381</v>
      </c>
      <c r="S34" s="1">
        <f t="shared" si="1"/>
        <v>1518.5955157253654</v>
      </c>
      <c r="T34" s="1">
        <f t="shared" si="9"/>
        <v>1518.5955157253654</v>
      </c>
      <c r="U34" s="1">
        <f t="shared" si="10"/>
        <v>0</v>
      </c>
      <c r="V34" s="1">
        <f t="shared" si="11"/>
        <v>1392.1206957944191</v>
      </c>
    </row>
    <row r="35" spans="2:22" x14ac:dyDescent="0.25">
      <c r="B35">
        <v>9</v>
      </c>
      <c r="C35" s="1">
        <f t="shared" si="12"/>
        <v>104462.83878233288</v>
      </c>
      <c r="D35" s="1">
        <f t="shared" si="0"/>
        <v>2378.8797969616571</v>
      </c>
      <c r="E35" s="1">
        <f t="shared" si="2"/>
        <v>1691.166108311299</v>
      </c>
      <c r="F35" s="1">
        <f t="shared" si="3"/>
        <v>687.71368865035811</v>
      </c>
      <c r="G35" s="1">
        <f t="shared" si="4"/>
        <v>2153.8340721690306</v>
      </c>
      <c r="J35">
        <v>9</v>
      </c>
      <c r="K35" s="1">
        <f t="shared" si="13"/>
        <v>101920</v>
      </c>
      <c r="L35" s="1">
        <f t="shared" si="5"/>
        <v>1960</v>
      </c>
      <c r="M35" s="1">
        <f t="shared" si="6"/>
        <v>1960</v>
      </c>
      <c r="N35" s="1">
        <f t="shared" si="7"/>
        <v>0</v>
      </c>
      <c r="O35" s="1">
        <f t="shared" si="8"/>
        <v>1774.5809548019558</v>
      </c>
      <c r="Q35">
        <v>9</v>
      </c>
      <c r="R35" s="1">
        <f t="shared" si="14"/>
        <v>78966.966817719018</v>
      </c>
      <c r="S35" s="1">
        <f t="shared" si="1"/>
        <v>1518.5955157253654</v>
      </c>
      <c r="T35" s="1">
        <f t="shared" si="9"/>
        <v>1518.5955157253654</v>
      </c>
      <c r="U35" s="1">
        <f t="shared" si="10"/>
        <v>0</v>
      </c>
      <c r="V35" s="1">
        <f t="shared" si="11"/>
        <v>1374.9340205376977</v>
      </c>
    </row>
    <row r="36" spans="2:22" x14ac:dyDescent="0.25">
      <c r="B36">
        <v>10</v>
      </c>
      <c r="C36" s="1">
        <f t="shared" si="12"/>
        <v>102771.67267402158</v>
      </c>
      <c r="D36" s="1">
        <f t="shared" si="0"/>
        <v>2378.8797969616571</v>
      </c>
      <c r="E36" s="1">
        <f t="shared" si="2"/>
        <v>1702.2996185243483</v>
      </c>
      <c r="F36" s="1">
        <f t="shared" si="3"/>
        <v>676.58017843730875</v>
      </c>
      <c r="G36" s="1">
        <f t="shared" si="4"/>
        <v>2127.2435280681784</v>
      </c>
      <c r="J36">
        <v>10</v>
      </c>
      <c r="K36" s="1">
        <f t="shared" si="13"/>
        <v>99960</v>
      </c>
      <c r="L36" s="1">
        <f t="shared" si="5"/>
        <v>1960</v>
      </c>
      <c r="M36" s="1">
        <f t="shared" si="6"/>
        <v>1960</v>
      </c>
      <c r="N36" s="1">
        <f t="shared" si="7"/>
        <v>0</v>
      </c>
      <c r="O36" s="1">
        <f t="shared" si="8"/>
        <v>1752.6725479525489</v>
      </c>
      <c r="Q36">
        <v>10</v>
      </c>
      <c r="R36" s="1">
        <f t="shared" si="14"/>
        <v>77448.371301993655</v>
      </c>
      <c r="S36" s="1">
        <f t="shared" si="1"/>
        <v>1518.5955157253654</v>
      </c>
      <c r="T36" s="1">
        <f t="shared" si="9"/>
        <v>1518.5955157253654</v>
      </c>
      <c r="U36" s="1">
        <f t="shared" si="10"/>
        <v>0</v>
      </c>
      <c r="V36" s="1">
        <f t="shared" si="11"/>
        <v>1357.9595264569855</v>
      </c>
    </row>
    <row r="37" spans="2:22" x14ac:dyDescent="0.25">
      <c r="B37">
        <v>11</v>
      </c>
      <c r="C37" s="1">
        <f t="shared" si="12"/>
        <v>101069.37305549723</v>
      </c>
      <c r="D37" s="1">
        <f t="shared" si="0"/>
        <v>2378.8797969616571</v>
      </c>
      <c r="E37" s="1">
        <f t="shared" si="2"/>
        <v>1713.5064243463003</v>
      </c>
      <c r="F37" s="1">
        <f t="shared" si="3"/>
        <v>665.37337261535674</v>
      </c>
      <c r="G37" s="1">
        <f t="shared" si="4"/>
        <v>2100.9812622895588</v>
      </c>
      <c r="J37">
        <v>11</v>
      </c>
      <c r="K37" s="1">
        <f t="shared" si="13"/>
        <v>98000</v>
      </c>
      <c r="L37" s="1">
        <f t="shared" si="5"/>
        <v>1960</v>
      </c>
      <c r="M37" s="1">
        <f t="shared" si="6"/>
        <v>1960</v>
      </c>
      <c r="N37" s="1">
        <f t="shared" si="7"/>
        <v>0</v>
      </c>
      <c r="O37" s="1">
        <f t="shared" si="8"/>
        <v>1731.0346152617765</v>
      </c>
      <c r="Q37">
        <v>11</v>
      </c>
      <c r="R37" s="1">
        <f t="shared" si="14"/>
        <v>75929.775786268292</v>
      </c>
      <c r="S37" s="1">
        <f t="shared" si="1"/>
        <v>1518.5955157253654</v>
      </c>
      <c r="T37" s="1">
        <f t="shared" si="9"/>
        <v>1518.5955157253654</v>
      </c>
      <c r="U37" s="1">
        <f t="shared" si="10"/>
        <v>0</v>
      </c>
      <c r="V37" s="1">
        <f t="shared" si="11"/>
        <v>1341.1945940315904</v>
      </c>
    </row>
    <row r="38" spans="2:22" x14ac:dyDescent="0.25">
      <c r="B38">
        <v>12</v>
      </c>
      <c r="C38" s="1">
        <f t="shared" si="12"/>
        <v>99355.86663115093</v>
      </c>
      <c r="D38" s="1">
        <f t="shared" si="0"/>
        <v>2378.8797969616571</v>
      </c>
      <c r="E38" s="1">
        <f t="shared" si="2"/>
        <v>1724.78700830658</v>
      </c>
      <c r="F38" s="1">
        <f t="shared" si="3"/>
        <v>654.09278865507702</v>
      </c>
      <c r="G38" s="1">
        <f t="shared" si="4"/>
        <v>2075.0432220143798</v>
      </c>
      <c r="J38">
        <v>12</v>
      </c>
      <c r="K38" s="1">
        <f t="shared" si="13"/>
        <v>96040</v>
      </c>
      <c r="L38" s="1">
        <f t="shared" si="5"/>
        <v>1960</v>
      </c>
      <c r="M38" s="1">
        <f t="shared" si="6"/>
        <v>1960</v>
      </c>
      <c r="N38" s="1">
        <f t="shared" si="7"/>
        <v>0</v>
      </c>
      <c r="O38" s="1">
        <f t="shared" si="8"/>
        <v>1709.6638175424957</v>
      </c>
      <c r="Q38">
        <v>12</v>
      </c>
      <c r="R38" s="1">
        <f t="shared" si="14"/>
        <v>74411.180270542929</v>
      </c>
      <c r="S38" s="1">
        <f t="shared" si="1"/>
        <v>1518.5955157253654</v>
      </c>
      <c r="T38" s="1">
        <f t="shared" si="9"/>
        <v>1518.5955157253654</v>
      </c>
      <c r="U38" s="1">
        <f t="shared" si="10"/>
        <v>0</v>
      </c>
      <c r="V38" s="1">
        <f t="shared" si="11"/>
        <v>1324.6366360805835</v>
      </c>
    </row>
    <row r="39" spans="2:22" x14ac:dyDescent="0.25">
      <c r="B39">
        <v>13</v>
      </c>
      <c r="C39" s="1">
        <f t="shared" si="12"/>
        <v>97631.079622844351</v>
      </c>
      <c r="D39" s="1">
        <f t="shared" si="0"/>
        <v>2378.8797969616571</v>
      </c>
      <c r="E39" s="1">
        <f t="shared" si="2"/>
        <v>1736.141856111265</v>
      </c>
      <c r="F39" s="1">
        <f t="shared" si="3"/>
        <v>642.73794085039196</v>
      </c>
      <c r="G39" s="1">
        <f t="shared" si="4"/>
        <v>2049.4254044586464</v>
      </c>
      <c r="J39">
        <v>13</v>
      </c>
      <c r="K39" s="1">
        <f t="shared" si="13"/>
        <v>94080</v>
      </c>
      <c r="L39" s="1">
        <f t="shared" si="5"/>
        <v>1960</v>
      </c>
      <c r="M39" s="1">
        <f t="shared" si="6"/>
        <v>1960</v>
      </c>
      <c r="N39" s="1">
        <f t="shared" si="7"/>
        <v>0</v>
      </c>
      <c r="O39" s="1">
        <f t="shared" si="8"/>
        <v>1688.5568568320944</v>
      </c>
      <c r="Q39">
        <v>13</v>
      </c>
      <c r="R39" s="1">
        <f t="shared" si="14"/>
        <v>72892.584754817566</v>
      </c>
      <c r="S39" s="1">
        <f t="shared" si="1"/>
        <v>1518.5955157253654</v>
      </c>
      <c r="T39" s="1">
        <f t="shared" si="9"/>
        <v>1518.5955157253654</v>
      </c>
      <c r="U39" s="1">
        <f t="shared" si="10"/>
        <v>0</v>
      </c>
      <c r="V39" s="1">
        <f t="shared" si="11"/>
        <v>1308.2830973635389</v>
      </c>
    </row>
    <row r="40" spans="2:22" x14ac:dyDescent="0.25">
      <c r="B40">
        <v>14</v>
      </c>
      <c r="C40" s="1">
        <f t="shared" si="12"/>
        <v>95894.937766733085</v>
      </c>
      <c r="D40" s="1">
        <f t="shared" si="0"/>
        <v>2378.8797969616571</v>
      </c>
      <c r="E40" s="1">
        <f t="shared" si="2"/>
        <v>1747.5714566639977</v>
      </c>
      <c r="F40" s="1">
        <f t="shared" si="3"/>
        <v>631.30834029765947</v>
      </c>
      <c r="G40" s="1">
        <f t="shared" si="4"/>
        <v>2024.1238562554533</v>
      </c>
      <c r="J40">
        <v>14</v>
      </c>
      <c r="K40" s="1">
        <f t="shared" si="13"/>
        <v>92120</v>
      </c>
      <c r="L40" s="1">
        <f t="shared" si="5"/>
        <v>1960</v>
      </c>
      <c r="M40" s="1">
        <f t="shared" si="6"/>
        <v>1960</v>
      </c>
      <c r="N40" s="1">
        <f t="shared" si="7"/>
        <v>0</v>
      </c>
      <c r="O40" s="1">
        <f t="shared" si="8"/>
        <v>1667.7104758835503</v>
      </c>
      <c r="Q40">
        <v>14</v>
      </c>
      <c r="R40" s="1">
        <f t="shared" si="14"/>
        <v>71373.989239092203</v>
      </c>
      <c r="S40" s="1">
        <f t="shared" si="1"/>
        <v>1518.5955157253654</v>
      </c>
      <c r="T40" s="1">
        <f t="shared" si="9"/>
        <v>1518.5955157253654</v>
      </c>
      <c r="U40" s="1">
        <f t="shared" si="10"/>
        <v>0</v>
      </c>
      <c r="V40" s="1">
        <f t="shared" si="11"/>
        <v>1292.1314541862116</v>
      </c>
    </row>
    <row r="41" spans="2:22" x14ac:dyDescent="0.25">
      <c r="B41">
        <v>15</v>
      </c>
      <c r="C41" s="1">
        <f t="shared" si="12"/>
        <v>94147.36631006909</v>
      </c>
      <c r="D41" s="1">
        <f t="shared" si="0"/>
        <v>2378.8797969616571</v>
      </c>
      <c r="E41" s="1">
        <f t="shared" si="2"/>
        <v>1759.0763020870356</v>
      </c>
      <c r="F41" s="1">
        <f t="shared" si="3"/>
        <v>619.80349487462149</v>
      </c>
      <c r="G41" s="1">
        <f t="shared" si="4"/>
        <v>1999.1346728448918</v>
      </c>
      <c r="J41">
        <v>15</v>
      </c>
      <c r="K41" s="1">
        <f t="shared" si="13"/>
        <v>90160</v>
      </c>
      <c r="L41" s="1">
        <f t="shared" si="5"/>
        <v>1960</v>
      </c>
      <c r="M41" s="1">
        <f t="shared" si="6"/>
        <v>1960</v>
      </c>
      <c r="N41" s="1">
        <f t="shared" si="7"/>
        <v>0</v>
      </c>
      <c r="O41" s="1">
        <f t="shared" si="8"/>
        <v>1647.1214576627654</v>
      </c>
      <c r="Q41">
        <v>15</v>
      </c>
      <c r="R41" s="1">
        <f t="shared" si="14"/>
        <v>69855.39372336684</v>
      </c>
      <c r="S41" s="1">
        <f t="shared" si="1"/>
        <v>1518.5955157253654</v>
      </c>
      <c r="T41" s="1">
        <f t="shared" si="9"/>
        <v>1518.5955157253654</v>
      </c>
      <c r="U41" s="1">
        <f t="shared" si="10"/>
        <v>0</v>
      </c>
      <c r="V41" s="1">
        <f t="shared" si="11"/>
        <v>1276.1792140110729</v>
      </c>
    </row>
    <row r="42" spans="2:22" x14ac:dyDescent="0.25">
      <c r="B42">
        <v>16</v>
      </c>
      <c r="C42" s="1">
        <f t="shared" si="12"/>
        <v>92388.290007982054</v>
      </c>
      <c r="D42" s="1">
        <f t="shared" si="0"/>
        <v>2378.8797969616571</v>
      </c>
      <c r="E42" s="1">
        <f t="shared" si="2"/>
        <v>1770.656887742442</v>
      </c>
      <c r="F42" s="1">
        <f t="shared" si="3"/>
        <v>608.22290921921524</v>
      </c>
      <c r="G42" s="1">
        <f t="shared" si="4"/>
        <v>1974.4539978714986</v>
      </c>
      <c r="J42">
        <v>16</v>
      </c>
      <c r="K42" s="1">
        <f t="shared" si="13"/>
        <v>88200</v>
      </c>
      <c r="L42" s="1">
        <f t="shared" si="5"/>
        <v>1960</v>
      </c>
      <c r="M42" s="1">
        <f t="shared" si="6"/>
        <v>1960</v>
      </c>
      <c r="N42" s="1">
        <f t="shared" si="7"/>
        <v>0</v>
      </c>
      <c r="O42" s="1">
        <f t="shared" si="8"/>
        <v>1626.7866248521143</v>
      </c>
      <c r="Q42">
        <v>16</v>
      </c>
      <c r="R42" s="1">
        <f t="shared" si="14"/>
        <v>68336.798207641477</v>
      </c>
      <c r="S42" s="1">
        <f t="shared" si="1"/>
        <v>1518.5955157253654</v>
      </c>
      <c r="T42" s="1">
        <f t="shared" si="9"/>
        <v>1518.5955157253654</v>
      </c>
      <c r="U42" s="1">
        <f t="shared" si="10"/>
        <v>0</v>
      </c>
      <c r="V42" s="1">
        <f t="shared" si="11"/>
        <v>1260.4239150726648</v>
      </c>
    </row>
    <row r="43" spans="2:22" x14ac:dyDescent="0.25">
      <c r="B43">
        <v>17</v>
      </c>
      <c r="C43" s="1">
        <f t="shared" si="12"/>
        <v>90617.63312023961</v>
      </c>
      <c r="D43" s="1">
        <f t="shared" si="0"/>
        <v>2378.8797969616571</v>
      </c>
      <c r="E43" s="1">
        <f t="shared" si="2"/>
        <v>1782.3137122534131</v>
      </c>
      <c r="F43" s="1">
        <f t="shared" si="3"/>
        <v>596.56608470824415</v>
      </c>
      <c r="G43" s="1">
        <f t="shared" si="4"/>
        <v>1950.078022589134</v>
      </c>
      <c r="J43">
        <v>17</v>
      </c>
      <c r="K43" s="1">
        <f t="shared" si="13"/>
        <v>86240</v>
      </c>
      <c r="L43" s="1">
        <f t="shared" si="5"/>
        <v>1960</v>
      </c>
      <c r="M43" s="1">
        <f t="shared" si="6"/>
        <v>1960</v>
      </c>
      <c r="N43" s="1">
        <f t="shared" si="7"/>
        <v>0</v>
      </c>
      <c r="O43" s="1">
        <f t="shared" si="8"/>
        <v>1606.7028393601126</v>
      </c>
      <c r="Q43">
        <v>17</v>
      </c>
      <c r="R43" s="1">
        <f t="shared" si="14"/>
        <v>66818.202691916114</v>
      </c>
      <c r="S43" s="1">
        <f t="shared" si="1"/>
        <v>1518.5955157253654</v>
      </c>
      <c r="T43" s="1">
        <f t="shared" si="9"/>
        <v>1518.5955157253654</v>
      </c>
      <c r="U43" s="1">
        <f t="shared" si="10"/>
        <v>0</v>
      </c>
      <c r="V43" s="1">
        <f t="shared" si="11"/>
        <v>1244.8631259976935</v>
      </c>
    </row>
    <row r="44" spans="2:22" x14ac:dyDescent="0.25">
      <c r="B44">
        <v>18</v>
      </c>
      <c r="C44" s="1">
        <f t="shared" si="12"/>
        <v>88835.319407986201</v>
      </c>
      <c r="D44" s="1">
        <f t="shared" si="0"/>
        <v>2378.8797969616571</v>
      </c>
      <c r="E44" s="1">
        <f t="shared" si="2"/>
        <v>1794.0472775257481</v>
      </c>
      <c r="F44" s="1">
        <f t="shared" si="3"/>
        <v>584.83251943590915</v>
      </c>
      <c r="G44" s="1">
        <f t="shared" si="4"/>
        <v>1926.0029852732189</v>
      </c>
      <c r="J44">
        <v>18</v>
      </c>
      <c r="K44" s="1">
        <f t="shared" si="13"/>
        <v>84280</v>
      </c>
      <c r="L44" s="1">
        <f t="shared" si="5"/>
        <v>1960</v>
      </c>
      <c r="M44" s="1">
        <f t="shared" si="6"/>
        <v>1960</v>
      </c>
      <c r="N44" s="1">
        <f t="shared" si="7"/>
        <v>0</v>
      </c>
      <c r="O44" s="1">
        <f t="shared" si="8"/>
        <v>1586.8670018371483</v>
      </c>
      <c r="Q44">
        <v>18</v>
      </c>
      <c r="R44" s="1">
        <f t="shared" si="14"/>
        <v>65299.607176190751</v>
      </c>
      <c r="S44" s="1">
        <f t="shared" si="1"/>
        <v>1518.5955157253654</v>
      </c>
      <c r="T44" s="1">
        <f t="shared" si="9"/>
        <v>1518.5955157253654</v>
      </c>
      <c r="U44" s="1">
        <f t="shared" si="10"/>
        <v>0</v>
      </c>
      <c r="V44" s="1">
        <f t="shared" si="11"/>
        <v>1229.4944454298209</v>
      </c>
    </row>
    <row r="45" spans="2:22" x14ac:dyDescent="0.25">
      <c r="B45">
        <v>19</v>
      </c>
      <c r="C45" s="1">
        <f t="shared" si="12"/>
        <v>87041.272130460449</v>
      </c>
      <c r="D45" s="1">
        <f t="shared" si="0"/>
        <v>2378.8797969616571</v>
      </c>
      <c r="E45" s="1">
        <f t="shared" si="2"/>
        <v>1805.8580887694593</v>
      </c>
      <c r="F45" s="1">
        <f t="shared" si="3"/>
        <v>573.02170819219793</v>
      </c>
      <c r="G45" s="1">
        <f t="shared" si="4"/>
        <v>1902.225170640216</v>
      </c>
      <c r="J45">
        <v>19</v>
      </c>
      <c r="K45" s="1">
        <f t="shared" si="13"/>
        <v>82320</v>
      </c>
      <c r="L45" s="1">
        <f t="shared" si="5"/>
        <v>1960</v>
      </c>
      <c r="M45" s="1">
        <f t="shared" si="6"/>
        <v>1960</v>
      </c>
      <c r="N45" s="1">
        <f t="shared" si="7"/>
        <v>0</v>
      </c>
      <c r="O45" s="1">
        <f t="shared" si="8"/>
        <v>1567.2760511971833</v>
      </c>
      <c r="Q45">
        <v>19</v>
      </c>
      <c r="R45" s="1">
        <f t="shared" si="14"/>
        <v>63781.011660465389</v>
      </c>
      <c r="S45" s="1">
        <f t="shared" si="1"/>
        <v>1518.5955157253654</v>
      </c>
      <c r="T45" s="1">
        <f t="shared" si="9"/>
        <v>1518.5955157253654</v>
      </c>
      <c r="U45" s="1">
        <f t="shared" si="10"/>
        <v>0</v>
      </c>
      <c r="V45" s="1">
        <f t="shared" si="11"/>
        <v>1214.3155016590822</v>
      </c>
    </row>
    <row r="46" spans="2:22" x14ac:dyDescent="0.25">
      <c r="B46">
        <v>20</v>
      </c>
      <c r="C46" s="1">
        <f t="shared" si="12"/>
        <v>85235.414041690994</v>
      </c>
      <c r="D46" s="1">
        <f t="shared" si="0"/>
        <v>2378.8797969616571</v>
      </c>
      <c r="E46" s="1">
        <f t="shared" si="2"/>
        <v>1817.7466545205248</v>
      </c>
      <c r="F46" s="1">
        <f t="shared" si="3"/>
        <v>561.13314244113235</v>
      </c>
      <c r="G46" s="1">
        <f t="shared" si="4"/>
        <v>1878.7409092742878</v>
      </c>
      <c r="J46">
        <v>20</v>
      </c>
      <c r="K46" s="1">
        <f t="shared" si="13"/>
        <v>80360</v>
      </c>
      <c r="L46" s="1">
        <f t="shared" si="5"/>
        <v>1960</v>
      </c>
      <c r="M46" s="1">
        <f t="shared" si="6"/>
        <v>1960</v>
      </c>
      <c r="N46" s="1">
        <f t="shared" si="7"/>
        <v>0</v>
      </c>
      <c r="O46" s="1">
        <f t="shared" si="8"/>
        <v>1547.9269641453666</v>
      </c>
      <c r="Q46">
        <v>20</v>
      </c>
      <c r="R46" s="1">
        <f t="shared" si="14"/>
        <v>62262.416144740026</v>
      </c>
      <c r="S46" s="1">
        <f t="shared" si="1"/>
        <v>1518.5955157253654</v>
      </c>
      <c r="T46" s="1">
        <f t="shared" si="9"/>
        <v>1518.5955157253654</v>
      </c>
      <c r="U46" s="1">
        <f t="shared" si="10"/>
        <v>0</v>
      </c>
      <c r="V46" s="1">
        <f t="shared" si="11"/>
        <v>1199.3239522558838</v>
      </c>
    </row>
    <row r="47" spans="2:22" x14ac:dyDescent="0.25">
      <c r="B47">
        <v>21</v>
      </c>
      <c r="C47" s="1">
        <f t="shared" si="12"/>
        <v>83417.66738717047</v>
      </c>
      <c r="D47" s="1">
        <f t="shared" si="0"/>
        <v>2378.8797969616571</v>
      </c>
      <c r="E47" s="1">
        <f t="shared" si="2"/>
        <v>1829.7134866627848</v>
      </c>
      <c r="F47" s="1">
        <f t="shared" si="3"/>
        <v>549.16631029887219</v>
      </c>
      <c r="G47" s="1">
        <f t="shared" si="4"/>
        <v>1855.5465770610249</v>
      </c>
      <c r="J47">
        <v>21</v>
      </c>
      <c r="K47" s="1">
        <f t="shared" si="13"/>
        <v>78400</v>
      </c>
      <c r="L47" s="1">
        <f t="shared" si="5"/>
        <v>1960</v>
      </c>
      <c r="M47" s="1">
        <f t="shared" si="6"/>
        <v>1960</v>
      </c>
      <c r="N47" s="1">
        <f t="shared" si="7"/>
        <v>0</v>
      </c>
      <c r="O47" s="1">
        <f t="shared" si="8"/>
        <v>1528.8167547114731</v>
      </c>
      <c r="Q47">
        <v>21</v>
      </c>
      <c r="R47" s="1">
        <f t="shared" si="14"/>
        <v>60743.820629014663</v>
      </c>
      <c r="S47" s="1">
        <f t="shared" si="1"/>
        <v>1518.5955157253654</v>
      </c>
      <c r="T47" s="1">
        <f t="shared" si="9"/>
        <v>1518.5955157253654</v>
      </c>
      <c r="U47" s="1">
        <f t="shared" si="10"/>
        <v>0</v>
      </c>
      <c r="V47" s="1">
        <f t="shared" si="11"/>
        <v>1184.5174837095149</v>
      </c>
    </row>
    <row r="48" spans="2:22" x14ac:dyDescent="0.25">
      <c r="B48">
        <v>22</v>
      </c>
      <c r="C48" s="1">
        <f t="shared" si="12"/>
        <v>81587.95390050768</v>
      </c>
      <c r="D48" s="1">
        <f t="shared" si="0"/>
        <v>2378.8797969616571</v>
      </c>
      <c r="E48" s="1">
        <f t="shared" si="2"/>
        <v>1841.7591004499816</v>
      </c>
      <c r="F48" s="1">
        <f t="shared" si="3"/>
        <v>537.12069651167553</v>
      </c>
      <c r="G48" s="1">
        <f t="shared" si="4"/>
        <v>1832.638594628173</v>
      </c>
      <c r="J48">
        <v>22</v>
      </c>
      <c r="K48" s="1">
        <f t="shared" si="13"/>
        <v>76440</v>
      </c>
      <c r="L48" s="1">
        <f t="shared" si="5"/>
        <v>1960</v>
      </c>
      <c r="M48" s="1">
        <f t="shared" si="6"/>
        <v>1960</v>
      </c>
      <c r="N48" s="1">
        <f t="shared" si="7"/>
        <v>0</v>
      </c>
      <c r="O48" s="1">
        <f t="shared" si="8"/>
        <v>1509.9424737891095</v>
      </c>
      <c r="Q48">
        <v>22</v>
      </c>
      <c r="R48" s="1">
        <f t="shared" si="14"/>
        <v>59225.2251132893</v>
      </c>
      <c r="S48" s="1">
        <f t="shared" si="1"/>
        <v>1518.5955157253654</v>
      </c>
      <c r="T48" s="1">
        <f t="shared" si="9"/>
        <v>1518.5955157253654</v>
      </c>
      <c r="U48" s="1">
        <f t="shared" si="10"/>
        <v>0</v>
      </c>
      <c r="V48" s="1">
        <f t="shared" si="11"/>
        <v>1169.8938110711258</v>
      </c>
    </row>
    <row r="49" spans="2:22" x14ac:dyDescent="0.25">
      <c r="B49">
        <v>23</v>
      </c>
      <c r="C49" s="1">
        <f t="shared" si="12"/>
        <v>79746.194800057696</v>
      </c>
      <c r="D49" s="1">
        <f t="shared" si="0"/>
        <v>2378.8797969616571</v>
      </c>
      <c r="E49" s="1">
        <f t="shared" si="2"/>
        <v>1853.8840145279439</v>
      </c>
      <c r="F49" s="1">
        <f t="shared" si="3"/>
        <v>524.9957824337132</v>
      </c>
      <c r="G49" s="1">
        <f t="shared" si="4"/>
        <v>1810.0134267932572</v>
      </c>
      <c r="J49">
        <v>23</v>
      </c>
      <c r="K49" s="1">
        <f t="shared" si="13"/>
        <v>74480</v>
      </c>
      <c r="L49" s="1">
        <f t="shared" si="5"/>
        <v>1960</v>
      </c>
      <c r="M49" s="1">
        <f t="shared" si="6"/>
        <v>1960</v>
      </c>
      <c r="N49" s="1">
        <f t="shared" si="7"/>
        <v>0</v>
      </c>
      <c r="O49" s="1">
        <f t="shared" si="8"/>
        <v>1491.301208680602</v>
      </c>
      <c r="Q49">
        <v>23</v>
      </c>
      <c r="R49" s="1">
        <f t="shared" si="14"/>
        <v>57706.629597563937</v>
      </c>
      <c r="S49" s="1">
        <f t="shared" si="1"/>
        <v>1518.5955157253654</v>
      </c>
      <c r="T49" s="1">
        <f t="shared" si="9"/>
        <v>1518.5955157253654</v>
      </c>
      <c r="U49" s="1">
        <f t="shared" si="10"/>
        <v>0</v>
      </c>
      <c r="V49" s="1">
        <f t="shared" si="11"/>
        <v>1155.4506776011119</v>
      </c>
    </row>
    <row r="50" spans="2:22" x14ac:dyDescent="0.25">
      <c r="B50">
        <v>24</v>
      </c>
      <c r="C50" s="1">
        <f t="shared" si="12"/>
        <v>77892.310785529757</v>
      </c>
      <c r="D50" s="1">
        <f t="shared" si="0"/>
        <v>2378.8797969616571</v>
      </c>
      <c r="E50" s="1">
        <f t="shared" si="2"/>
        <v>1866.0887509569197</v>
      </c>
      <c r="F50" s="1">
        <f t="shared" si="3"/>
        <v>512.7910460047375</v>
      </c>
      <c r="G50" s="1">
        <f t="shared" si="4"/>
        <v>1787.6675820180319</v>
      </c>
      <c r="J50">
        <v>24</v>
      </c>
      <c r="K50" s="1">
        <f t="shared" si="13"/>
        <v>72520</v>
      </c>
      <c r="L50" s="1">
        <f t="shared" si="5"/>
        <v>1960</v>
      </c>
      <c r="M50" s="1">
        <f t="shared" si="6"/>
        <v>1960</v>
      </c>
      <c r="N50" s="1">
        <f t="shared" si="7"/>
        <v>0</v>
      </c>
      <c r="O50" s="1">
        <f t="shared" si="8"/>
        <v>1472.8900826475083</v>
      </c>
      <c r="Q50">
        <v>24</v>
      </c>
      <c r="R50" s="1">
        <f t="shared" si="14"/>
        <v>56188.034081838574</v>
      </c>
      <c r="S50" s="1">
        <f t="shared" si="1"/>
        <v>1518.5955157253654</v>
      </c>
      <c r="T50" s="1">
        <f t="shared" si="9"/>
        <v>1518.5955157253654</v>
      </c>
      <c r="U50" s="1">
        <f t="shared" si="10"/>
        <v>0</v>
      </c>
      <c r="V50" s="1">
        <f t="shared" si="11"/>
        <v>1141.1858544208515</v>
      </c>
    </row>
    <row r="51" spans="2:22" x14ac:dyDescent="0.25">
      <c r="B51">
        <v>25</v>
      </c>
      <c r="C51" s="1">
        <f t="shared" si="12"/>
        <v>76026.222034572842</v>
      </c>
      <c r="D51" s="1">
        <f t="shared" si="0"/>
        <v>2378.8797969616571</v>
      </c>
      <c r="E51" s="1">
        <f t="shared" si="2"/>
        <v>1878.3738352340526</v>
      </c>
      <c r="F51" s="1">
        <f t="shared" si="3"/>
        <v>500.50596172760453</v>
      </c>
      <c r="G51" s="1">
        <f t="shared" si="4"/>
        <v>1765.597611869661</v>
      </c>
      <c r="J51">
        <v>25</v>
      </c>
      <c r="K51" s="1">
        <f t="shared" si="13"/>
        <v>70560</v>
      </c>
      <c r="L51" s="1">
        <f t="shared" si="5"/>
        <v>1960</v>
      </c>
      <c r="M51" s="1">
        <f t="shared" si="6"/>
        <v>1960</v>
      </c>
      <c r="N51" s="1">
        <f t="shared" si="7"/>
        <v>0</v>
      </c>
      <c r="O51" s="1">
        <f t="shared" si="8"/>
        <v>1454.7062544666746</v>
      </c>
      <c r="Q51">
        <v>25</v>
      </c>
      <c r="R51" s="1">
        <f t="shared" si="14"/>
        <v>54669.438566113211</v>
      </c>
      <c r="S51" s="1">
        <f t="shared" si="1"/>
        <v>1518.5955157253654</v>
      </c>
      <c r="T51" s="1">
        <f t="shared" si="9"/>
        <v>1518.5955157253654</v>
      </c>
      <c r="U51" s="1">
        <f t="shared" si="10"/>
        <v>0</v>
      </c>
      <c r="V51" s="1">
        <f t="shared" si="11"/>
        <v>1127.097140168742</v>
      </c>
    </row>
    <row r="52" spans="2:22" x14ac:dyDescent="0.25">
      <c r="B52">
        <v>26</v>
      </c>
      <c r="C52" s="1">
        <f t="shared" si="12"/>
        <v>74147.848199338783</v>
      </c>
      <c r="D52" s="1">
        <f t="shared" si="0"/>
        <v>2378.8797969616571</v>
      </c>
      <c r="E52" s="1">
        <f t="shared" si="2"/>
        <v>1890.7397963160101</v>
      </c>
      <c r="F52" s="1">
        <f t="shared" si="3"/>
        <v>488.14000064564698</v>
      </c>
      <c r="G52" s="1">
        <f t="shared" si="4"/>
        <v>1743.8001104885541</v>
      </c>
      <c r="J52">
        <v>26</v>
      </c>
      <c r="K52" s="1">
        <f t="shared" si="13"/>
        <v>68600</v>
      </c>
      <c r="L52" s="1">
        <f t="shared" si="5"/>
        <v>1960</v>
      </c>
      <c r="M52" s="1">
        <f t="shared" si="6"/>
        <v>1960</v>
      </c>
      <c r="N52" s="1">
        <f t="shared" si="7"/>
        <v>0</v>
      </c>
      <c r="O52" s="1">
        <f t="shared" si="8"/>
        <v>1436.7469179917775</v>
      </c>
      <c r="Q52">
        <v>26</v>
      </c>
      <c r="R52" s="1">
        <f t="shared" si="14"/>
        <v>53150.843050387848</v>
      </c>
      <c r="S52" s="1">
        <f t="shared" si="1"/>
        <v>1518.5955157253654</v>
      </c>
      <c r="T52" s="1">
        <f t="shared" si="9"/>
        <v>1518.5955157253654</v>
      </c>
      <c r="U52" s="1">
        <f t="shared" si="10"/>
        <v>0</v>
      </c>
      <c r="V52" s="1">
        <f t="shared" si="11"/>
        <v>1113.182360660486</v>
      </c>
    </row>
    <row r="53" spans="2:22" x14ac:dyDescent="0.25">
      <c r="B53">
        <v>27</v>
      </c>
      <c r="C53" s="1">
        <f t="shared" si="12"/>
        <v>72257.108403022779</v>
      </c>
      <c r="D53" s="1">
        <f t="shared" si="0"/>
        <v>2378.8797969616571</v>
      </c>
      <c r="E53" s="1">
        <f t="shared" si="2"/>
        <v>1903.1871666417571</v>
      </c>
      <c r="F53" s="1">
        <f t="shared" si="3"/>
        <v>475.69263031989999</v>
      </c>
      <c r="G53" s="1">
        <f t="shared" si="4"/>
        <v>1722.2717140627692</v>
      </c>
      <c r="J53">
        <v>27</v>
      </c>
      <c r="K53" s="1">
        <f t="shared" si="13"/>
        <v>66640</v>
      </c>
      <c r="L53" s="1">
        <f t="shared" si="5"/>
        <v>1960</v>
      </c>
      <c r="M53" s="1">
        <f t="shared" si="6"/>
        <v>1960</v>
      </c>
      <c r="N53" s="1">
        <f t="shared" si="7"/>
        <v>0</v>
      </c>
      <c r="O53" s="1">
        <f t="shared" si="8"/>
        <v>1419.0093017202737</v>
      </c>
      <c r="Q53">
        <v>27</v>
      </c>
      <c r="R53" s="1">
        <f t="shared" si="14"/>
        <v>51632.247534662485</v>
      </c>
      <c r="S53" s="1">
        <f t="shared" si="1"/>
        <v>1518.5955157253654</v>
      </c>
      <c r="T53" s="1">
        <f t="shared" si="9"/>
        <v>1518.5955157253654</v>
      </c>
      <c r="U53" s="1">
        <f t="shared" si="10"/>
        <v>0</v>
      </c>
      <c r="V53" s="1">
        <f t="shared" si="11"/>
        <v>1099.4393685535663</v>
      </c>
    </row>
    <row r="54" spans="2:22" x14ac:dyDescent="0.25">
      <c r="B54">
        <v>28</v>
      </c>
      <c r="C54" s="1">
        <f t="shared" si="12"/>
        <v>70353.921236381022</v>
      </c>
      <c r="D54" s="1">
        <f t="shared" si="0"/>
        <v>2378.8797969616571</v>
      </c>
      <c r="E54" s="1">
        <f t="shared" si="2"/>
        <v>1915.716482155482</v>
      </c>
      <c r="F54" s="1">
        <f t="shared" si="3"/>
        <v>463.16331480617509</v>
      </c>
      <c r="G54" s="1">
        <f t="shared" si="4"/>
        <v>1701.0091003089083</v>
      </c>
      <c r="J54">
        <v>28</v>
      </c>
      <c r="K54" s="1">
        <f t="shared" si="13"/>
        <v>64680</v>
      </c>
      <c r="L54" s="1">
        <f t="shared" si="5"/>
        <v>1960</v>
      </c>
      <c r="M54" s="1">
        <f t="shared" si="6"/>
        <v>1960</v>
      </c>
      <c r="N54" s="1">
        <f t="shared" si="7"/>
        <v>0</v>
      </c>
      <c r="O54" s="1">
        <f t="shared" si="8"/>
        <v>1401.4906683657027</v>
      </c>
      <c r="Q54">
        <v>28</v>
      </c>
      <c r="R54" s="1">
        <f t="shared" si="14"/>
        <v>50113.652018937122</v>
      </c>
      <c r="S54" s="1">
        <f t="shared" si="1"/>
        <v>1518.5955157253654</v>
      </c>
      <c r="T54" s="1">
        <f t="shared" si="9"/>
        <v>1518.5955157253654</v>
      </c>
      <c r="U54" s="1">
        <f t="shared" si="10"/>
        <v>0</v>
      </c>
      <c r="V54" s="1">
        <f t="shared" si="11"/>
        <v>1085.8660430158682</v>
      </c>
    </row>
    <row r="55" spans="2:22" x14ac:dyDescent="0.25">
      <c r="B55">
        <v>29</v>
      </c>
      <c r="C55" s="1">
        <f t="shared" si="12"/>
        <v>68438.204754225546</v>
      </c>
      <c r="D55" s="1">
        <f t="shared" si="0"/>
        <v>2378.8797969616571</v>
      </c>
      <c r="E55" s="1">
        <f t="shared" si="2"/>
        <v>1928.3282823296722</v>
      </c>
      <c r="F55" s="1">
        <f t="shared" si="3"/>
        <v>450.55151463198484</v>
      </c>
      <c r="G55" s="1">
        <f t="shared" si="4"/>
        <v>1680.0089879594154</v>
      </c>
      <c r="J55">
        <v>29</v>
      </c>
      <c r="K55" s="1">
        <f t="shared" si="13"/>
        <v>62720</v>
      </c>
      <c r="L55" s="1">
        <f t="shared" si="5"/>
        <v>1960</v>
      </c>
      <c r="M55" s="1">
        <f t="shared" si="6"/>
        <v>1960</v>
      </c>
      <c r="N55" s="1">
        <f t="shared" si="7"/>
        <v>0</v>
      </c>
      <c r="O55" s="1">
        <f t="shared" si="8"/>
        <v>1384.1883144352619</v>
      </c>
      <c r="Q55">
        <v>29</v>
      </c>
      <c r="R55" s="1">
        <f t="shared" si="14"/>
        <v>48595.056503211759</v>
      </c>
      <c r="S55" s="1">
        <f t="shared" si="1"/>
        <v>1518.5955157253654</v>
      </c>
      <c r="T55" s="1">
        <f t="shared" si="9"/>
        <v>1518.5955157253654</v>
      </c>
      <c r="U55" s="1">
        <f t="shared" si="10"/>
        <v>0</v>
      </c>
      <c r="V55" s="1">
        <f t="shared" si="11"/>
        <v>1072.4602893983883</v>
      </c>
    </row>
    <row r="56" spans="2:22" x14ac:dyDescent="0.25">
      <c r="B56">
        <v>30</v>
      </c>
      <c r="C56" s="1">
        <f t="shared" si="12"/>
        <v>66509.87647189587</v>
      </c>
      <c r="D56" s="1">
        <f t="shared" si="0"/>
        <v>2378.8797969616571</v>
      </c>
      <c r="E56" s="1">
        <f t="shared" si="2"/>
        <v>1941.0231101883426</v>
      </c>
      <c r="F56" s="1">
        <f t="shared" si="3"/>
        <v>437.85668677331449</v>
      </c>
      <c r="G56" s="1">
        <f t="shared" si="4"/>
        <v>1659.268136256213</v>
      </c>
      <c r="J56">
        <v>30</v>
      </c>
      <c r="K56" s="1">
        <f t="shared" si="13"/>
        <v>60760</v>
      </c>
      <c r="L56" s="1">
        <f t="shared" si="5"/>
        <v>1960</v>
      </c>
      <c r="M56" s="1">
        <f t="shared" si="6"/>
        <v>1960</v>
      </c>
      <c r="N56" s="1">
        <f t="shared" si="7"/>
        <v>0</v>
      </c>
      <c r="O56" s="1">
        <f t="shared" si="8"/>
        <v>1367.0995698126046</v>
      </c>
      <c r="Q56">
        <v>30</v>
      </c>
      <c r="R56" s="1">
        <f t="shared" si="14"/>
        <v>47076.460987486396</v>
      </c>
      <c r="S56" s="1">
        <f t="shared" si="1"/>
        <v>1518.5955157253654</v>
      </c>
      <c r="T56" s="1">
        <f t="shared" si="9"/>
        <v>1518.5955157253654</v>
      </c>
      <c r="U56" s="1">
        <f t="shared" si="10"/>
        <v>0</v>
      </c>
      <c r="V56" s="1">
        <f t="shared" si="11"/>
        <v>1059.2200389119885</v>
      </c>
    </row>
    <row r="57" spans="2:22" x14ac:dyDescent="0.25">
      <c r="B57">
        <v>31</v>
      </c>
      <c r="C57" s="1">
        <f t="shared" si="12"/>
        <v>64568.85336170753</v>
      </c>
      <c r="D57" s="1">
        <f t="shared" si="0"/>
        <v>2378.8797969616571</v>
      </c>
      <c r="E57" s="1">
        <f t="shared" si="2"/>
        <v>1953.8015123304158</v>
      </c>
      <c r="F57" s="1">
        <f t="shared" si="3"/>
        <v>425.07828463124127</v>
      </c>
      <c r="G57" s="1">
        <f t="shared" si="4"/>
        <v>1638.7833444505804</v>
      </c>
      <c r="J57">
        <v>31</v>
      </c>
      <c r="K57" s="1">
        <f t="shared" si="13"/>
        <v>58800</v>
      </c>
      <c r="L57" s="1">
        <f t="shared" si="5"/>
        <v>1960</v>
      </c>
      <c r="M57" s="1">
        <f t="shared" si="6"/>
        <v>1960</v>
      </c>
      <c r="N57" s="1">
        <f t="shared" si="7"/>
        <v>0</v>
      </c>
      <c r="O57" s="1">
        <f t="shared" si="8"/>
        <v>1350.2217973457819</v>
      </c>
      <c r="Q57">
        <v>31</v>
      </c>
      <c r="R57" s="1">
        <f t="shared" si="14"/>
        <v>45557.865471761033</v>
      </c>
      <c r="S57" s="1">
        <f t="shared" si="1"/>
        <v>1518.5955157253654</v>
      </c>
      <c r="T57" s="1">
        <f t="shared" si="9"/>
        <v>1518.5955157253654</v>
      </c>
      <c r="U57" s="1">
        <f t="shared" si="10"/>
        <v>0</v>
      </c>
      <c r="V57" s="1">
        <f t="shared" si="11"/>
        <v>1046.1432483081364</v>
      </c>
    </row>
    <row r="58" spans="2:22" x14ac:dyDescent="0.25">
      <c r="B58">
        <v>32</v>
      </c>
      <c r="C58" s="1">
        <f t="shared" si="12"/>
        <v>62615.051849377116</v>
      </c>
      <c r="D58" s="1">
        <f t="shared" si="0"/>
        <v>2378.8797969616571</v>
      </c>
      <c r="E58" s="1">
        <f t="shared" si="2"/>
        <v>1966.6640389532577</v>
      </c>
      <c r="F58" s="1">
        <f t="shared" si="3"/>
        <v>412.2157580083994</v>
      </c>
      <c r="G58" s="1">
        <f t="shared" si="4"/>
        <v>1618.5514513092155</v>
      </c>
      <c r="J58">
        <v>32</v>
      </c>
      <c r="K58" s="1">
        <f t="shared" si="13"/>
        <v>56840</v>
      </c>
      <c r="L58" s="1">
        <f t="shared" si="5"/>
        <v>1960</v>
      </c>
      <c r="M58" s="1">
        <f t="shared" si="6"/>
        <v>1960</v>
      </c>
      <c r="N58" s="1">
        <f t="shared" si="7"/>
        <v>0</v>
      </c>
      <c r="O58" s="1">
        <f t="shared" si="8"/>
        <v>1333.5523924402789</v>
      </c>
      <c r="Q58">
        <v>32</v>
      </c>
      <c r="R58" s="1">
        <f t="shared" si="14"/>
        <v>44039.26995603567</v>
      </c>
      <c r="S58" s="1">
        <f t="shared" si="1"/>
        <v>1518.5955157253654</v>
      </c>
      <c r="T58" s="1">
        <f t="shared" si="9"/>
        <v>1518.5955157253654</v>
      </c>
      <c r="U58" s="1">
        <f t="shared" si="10"/>
        <v>0</v>
      </c>
      <c r="V58" s="1">
        <f t="shared" si="11"/>
        <v>1033.227899563592</v>
      </c>
    </row>
    <row r="59" spans="2:22" x14ac:dyDescent="0.25">
      <c r="B59">
        <v>33</v>
      </c>
      <c r="C59" s="1">
        <f t="shared" si="12"/>
        <v>60648.387810423861</v>
      </c>
      <c r="D59" s="1">
        <f t="shared" ref="D59:D90" si="15">IF($B59&lt;=$D$17,$D$18,0)</f>
        <v>2378.8797969616571</v>
      </c>
      <c r="E59" s="1">
        <f t="shared" si="2"/>
        <v>1979.6112438763666</v>
      </c>
      <c r="F59" s="1">
        <f t="shared" si="3"/>
        <v>399.26855308529042</v>
      </c>
      <c r="G59" s="1">
        <f t="shared" si="4"/>
        <v>1598.5693346263856</v>
      </c>
      <c r="J59">
        <v>33</v>
      </c>
      <c r="K59" s="1">
        <f t="shared" si="13"/>
        <v>54880</v>
      </c>
      <c r="L59" s="1">
        <f t="shared" si="5"/>
        <v>1960</v>
      </c>
      <c r="M59" s="1">
        <f t="shared" si="6"/>
        <v>1960</v>
      </c>
      <c r="N59" s="1">
        <f t="shared" si="7"/>
        <v>0</v>
      </c>
      <c r="O59" s="1">
        <f t="shared" si="8"/>
        <v>1317.0887826570654</v>
      </c>
      <c r="Q59">
        <v>33</v>
      </c>
      <c r="R59" s="1">
        <f t="shared" si="14"/>
        <v>42520.674440310308</v>
      </c>
      <c r="S59" s="1">
        <f t="shared" ref="S59:S90" si="16">IF($Q59&lt;=VALUE($N$9),($M$7-$M$14)/$N$9,0)</f>
        <v>1518.5955157253654</v>
      </c>
      <c r="T59" s="1">
        <f t="shared" si="9"/>
        <v>1518.5955157253654</v>
      </c>
      <c r="U59" s="1">
        <f t="shared" si="10"/>
        <v>0</v>
      </c>
      <c r="V59" s="1">
        <f t="shared" si="11"/>
        <v>1020.4719995689795</v>
      </c>
    </row>
    <row r="60" spans="2:22" x14ac:dyDescent="0.25">
      <c r="B60">
        <v>34</v>
      </c>
      <c r="C60" s="1">
        <f t="shared" si="12"/>
        <v>58668.776566547494</v>
      </c>
      <c r="D60" s="1">
        <f t="shared" si="15"/>
        <v>2378.8797969616571</v>
      </c>
      <c r="E60" s="1">
        <f t="shared" si="2"/>
        <v>1992.6436845652195</v>
      </c>
      <c r="F60" s="1">
        <f t="shared" si="3"/>
        <v>386.23611239643765</v>
      </c>
      <c r="G60" s="1">
        <f t="shared" si="4"/>
        <v>1578.8339107421093</v>
      </c>
      <c r="J60">
        <v>34</v>
      </c>
      <c r="K60" s="1">
        <f t="shared" si="13"/>
        <v>52920</v>
      </c>
      <c r="L60" s="1">
        <f t="shared" si="5"/>
        <v>1960</v>
      </c>
      <c r="M60" s="1">
        <f t="shared" si="6"/>
        <v>1960</v>
      </c>
      <c r="N60" s="1">
        <f t="shared" si="7"/>
        <v>0</v>
      </c>
      <c r="O60" s="1">
        <f t="shared" si="8"/>
        <v>1300.82842731562</v>
      </c>
      <c r="Q60">
        <v>34</v>
      </c>
      <c r="R60" s="1">
        <f t="shared" si="14"/>
        <v>41002.078924584945</v>
      </c>
      <c r="S60" s="1">
        <f t="shared" si="16"/>
        <v>1518.5955157253654</v>
      </c>
      <c r="T60" s="1">
        <f t="shared" si="9"/>
        <v>1518.5955157253654</v>
      </c>
      <c r="U60" s="1">
        <f t="shared" si="10"/>
        <v>0</v>
      </c>
      <c r="V60" s="1">
        <f t="shared" si="11"/>
        <v>1007.8735798212143</v>
      </c>
    </row>
    <row r="61" spans="2:22" x14ac:dyDescent="0.25">
      <c r="B61">
        <v>35</v>
      </c>
      <c r="C61" s="1">
        <f t="shared" si="12"/>
        <v>56676.132881982274</v>
      </c>
      <c r="D61" s="1">
        <f t="shared" si="15"/>
        <v>2378.8797969616571</v>
      </c>
      <c r="E61" s="1">
        <f t="shared" si="2"/>
        <v>2005.7619221552739</v>
      </c>
      <c r="F61" s="1">
        <f t="shared" si="3"/>
        <v>373.11787480638327</v>
      </c>
      <c r="G61" s="1">
        <f t="shared" si="4"/>
        <v>1559.3421340662808</v>
      </c>
      <c r="J61">
        <v>35</v>
      </c>
      <c r="K61" s="1">
        <f t="shared" si="13"/>
        <v>50960</v>
      </c>
      <c r="L61" s="1">
        <f t="shared" si="5"/>
        <v>1960</v>
      </c>
      <c r="M61" s="1">
        <f t="shared" si="6"/>
        <v>1960</v>
      </c>
      <c r="N61" s="1">
        <f t="shared" si="7"/>
        <v>0</v>
      </c>
      <c r="O61" s="1">
        <f t="shared" si="8"/>
        <v>1284.7688171018469</v>
      </c>
      <c r="Q61">
        <v>35</v>
      </c>
      <c r="R61" s="1">
        <f t="shared" si="14"/>
        <v>39483.483408859582</v>
      </c>
      <c r="S61" s="1">
        <f t="shared" si="16"/>
        <v>1518.5955157253654</v>
      </c>
      <c r="T61" s="1">
        <f t="shared" si="9"/>
        <v>1518.5955157253654</v>
      </c>
      <c r="U61" s="1">
        <f t="shared" si="10"/>
        <v>0</v>
      </c>
      <c r="V61" s="1">
        <f t="shared" si="11"/>
        <v>995.43069611971782</v>
      </c>
    </row>
    <row r="62" spans="2:22" x14ac:dyDescent="0.25">
      <c r="B62">
        <v>36</v>
      </c>
      <c r="C62" s="1">
        <f t="shared" si="12"/>
        <v>54670.370959827</v>
      </c>
      <c r="D62" s="1">
        <f t="shared" si="15"/>
        <v>2378.8797969616571</v>
      </c>
      <c r="E62" s="1">
        <f t="shared" si="2"/>
        <v>2018.9665214761294</v>
      </c>
      <c r="F62" s="1">
        <f t="shared" si="3"/>
        <v>359.91327548552772</v>
      </c>
      <c r="G62" s="1">
        <f t="shared" si="4"/>
        <v>1540.0909966086724</v>
      </c>
      <c r="J62">
        <v>36</v>
      </c>
      <c r="K62" s="1">
        <f t="shared" si="13"/>
        <v>49000</v>
      </c>
      <c r="L62" s="1">
        <f t="shared" si="5"/>
        <v>1960</v>
      </c>
      <c r="M62" s="1">
        <f t="shared" si="6"/>
        <v>1960</v>
      </c>
      <c r="N62" s="1">
        <f t="shared" si="7"/>
        <v>0</v>
      </c>
      <c r="O62" s="1">
        <f t="shared" si="8"/>
        <v>1268.9074736808366</v>
      </c>
      <c r="Q62">
        <v>36</v>
      </c>
      <c r="R62" s="1">
        <f t="shared" si="14"/>
        <v>37964.887893134219</v>
      </c>
      <c r="S62" s="1">
        <f t="shared" si="16"/>
        <v>1518.5955157253654</v>
      </c>
      <c r="T62" s="1">
        <f t="shared" si="9"/>
        <v>1518.5955157253654</v>
      </c>
      <c r="U62" s="1">
        <f t="shared" si="10"/>
        <v>0</v>
      </c>
      <c r="V62" s="1">
        <f t="shared" si="11"/>
        <v>983.14142826638806</v>
      </c>
    </row>
    <row r="63" spans="2:22" x14ac:dyDescent="0.25">
      <c r="B63">
        <v>37</v>
      </c>
      <c r="C63" s="1">
        <f t="shared" si="12"/>
        <v>52651.404438350874</v>
      </c>
      <c r="D63" s="1">
        <f t="shared" si="15"/>
        <v>2378.8797969616571</v>
      </c>
      <c r="E63" s="1">
        <f t="shared" si="2"/>
        <v>2032.2580510758471</v>
      </c>
      <c r="F63" s="1">
        <f t="shared" si="3"/>
        <v>346.62174588580996</v>
      </c>
      <c r="G63" s="1">
        <f t="shared" si="4"/>
        <v>1521.0775275147382</v>
      </c>
      <c r="J63">
        <v>37</v>
      </c>
      <c r="K63" s="1">
        <f t="shared" si="13"/>
        <v>47040</v>
      </c>
      <c r="L63" s="1">
        <f t="shared" si="5"/>
        <v>1960</v>
      </c>
      <c r="M63" s="1">
        <f t="shared" si="6"/>
        <v>1960</v>
      </c>
      <c r="N63" s="1">
        <f t="shared" si="7"/>
        <v>0</v>
      </c>
      <c r="O63" s="1">
        <f t="shared" si="8"/>
        <v>1253.2419493144066</v>
      </c>
      <c r="Q63">
        <v>37</v>
      </c>
      <c r="R63" s="1">
        <f t="shared" si="14"/>
        <v>36446.292377408856</v>
      </c>
      <c r="S63" s="1">
        <f t="shared" si="16"/>
        <v>1518.5955157253654</v>
      </c>
      <c r="T63" s="1">
        <f t="shared" si="9"/>
        <v>1518.5955157253654</v>
      </c>
      <c r="U63" s="1">
        <f t="shared" si="10"/>
        <v>0</v>
      </c>
      <c r="V63" s="1">
        <f t="shared" si="11"/>
        <v>971.0038797692722</v>
      </c>
    </row>
    <row r="64" spans="2:22" x14ac:dyDescent="0.25">
      <c r="B64">
        <v>38</v>
      </c>
      <c r="C64" s="1">
        <f t="shared" si="12"/>
        <v>50619.146387275025</v>
      </c>
      <c r="D64" s="1">
        <f t="shared" si="15"/>
        <v>2378.8797969616571</v>
      </c>
      <c r="E64" s="1">
        <f t="shared" si="2"/>
        <v>2045.6370832454299</v>
      </c>
      <c r="F64" s="1">
        <f t="shared" si="3"/>
        <v>333.24271371622723</v>
      </c>
      <c r="G64" s="1">
        <f t="shared" si="4"/>
        <v>1502.2987926071489</v>
      </c>
      <c r="J64">
        <v>38</v>
      </c>
      <c r="K64" s="1">
        <f t="shared" si="13"/>
        <v>45080</v>
      </c>
      <c r="L64" s="1">
        <f t="shared" si="5"/>
        <v>1960</v>
      </c>
      <c r="M64" s="1">
        <f t="shared" si="6"/>
        <v>1960</v>
      </c>
      <c r="N64" s="1">
        <f t="shared" si="7"/>
        <v>0</v>
      </c>
      <c r="O64" s="1">
        <f t="shared" si="8"/>
        <v>1237.7698264833646</v>
      </c>
      <c r="Q64">
        <v>38</v>
      </c>
      <c r="R64" s="1">
        <f t="shared" si="14"/>
        <v>34927.696861683493</v>
      </c>
      <c r="S64" s="1">
        <f t="shared" si="16"/>
        <v>1518.5955157253654</v>
      </c>
      <c r="T64" s="1">
        <f t="shared" si="9"/>
        <v>1518.5955157253654</v>
      </c>
      <c r="U64" s="1">
        <f t="shared" si="10"/>
        <v>0</v>
      </c>
      <c r="V64" s="1">
        <f t="shared" si="11"/>
        <v>959.01617754989854</v>
      </c>
    </row>
    <row r="65" spans="2:22" x14ac:dyDescent="0.25">
      <c r="B65">
        <v>39</v>
      </c>
      <c r="C65" s="1">
        <f t="shared" si="12"/>
        <v>48573.509304029598</v>
      </c>
      <c r="D65" s="1">
        <f t="shared" si="15"/>
        <v>2378.8797969616571</v>
      </c>
      <c r="E65" s="1">
        <f t="shared" si="2"/>
        <v>2059.1041940434625</v>
      </c>
      <c r="F65" s="1">
        <f t="shared" si="3"/>
        <v>319.77560291819486</v>
      </c>
      <c r="G65" s="1">
        <f t="shared" si="4"/>
        <v>1483.7518939329866</v>
      </c>
      <c r="J65">
        <v>39</v>
      </c>
      <c r="K65" s="1">
        <f t="shared" si="13"/>
        <v>43120</v>
      </c>
      <c r="L65" s="1">
        <f t="shared" si="5"/>
        <v>1960</v>
      </c>
      <c r="M65" s="1">
        <f t="shared" si="6"/>
        <v>1960</v>
      </c>
      <c r="N65" s="1">
        <f t="shared" si="7"/>
        <v>0</v>
      </c>
      <c r="O65" s="1">
        <f t="shared" si="8"/>
        <v>1222.488717514434</v>
      </c>
      <c r="Q65">
        <v>39</v>
      </c>
      <c r="R65" s="1">
        <f t="shared" si="14"/>
        <v>33409.10134595813</v>
      </c>
      <c r="S65" s="1">
        <f t="shared" si="16"/>
        <v>1518.5955157253654</v>
      </c>
      <c r="T65" s="1">
        <f t="shared" si="9"/>
        <v>1518.5955157253654</v>
      </c>
      <c r="U65" s="1">
        <f t="shared" si="10"/>
        <v>0</v>
      </c>
      <c r="V65" s="1">
        <f t="shared" si="11"/>
        <v>947.17647165422079</v>
      </c>
    </row>
    <row r="66" spans="2:22" x14ac:dyDescent="0.25">
      <c r="B66">
        <v>40</v>
      </c>
      <c r="C66" s="1">
        <f t="shared" si="12"/>
        <v>46514.405109986139</v>
      </c>
      <c r="D66" s="1">
        <f t="shared" si="15"/>
        <v>2378.8797969616571</v>
      </c>
      <c r="E66" s="1">
        <f t="shared" si="2"/>
        <v>2072.6599633209153</v>
      </c>
      <c r="F66" s="1">
        <f t="shared" si="3"/>
        <v>306.21983364074208</v>
      </c>
      <c r="G66" s="1">
        <f t="shared" si="4"/>
        <v>1465.43396931653</v>
      </c>
      <c r="J66">
        <v>40</v>
      </c>
      <c r="K66" s="1">
        <f t="shared" si="13"/>
        <v>41160</v>
      </c>
      <c r="L66" s="1">
        <f t="shared" si="5"/>
        <v>1960</v>
      </c>
      <c r="M66" s="1">
        <f t="shared" si="6"/>
        <v>1960</v>
      </c>
      <c r="N66" s="1">
        <f t="shared" si="7"/>
        <v>0</v>
      </c>
      <c r="O66" s="1">
        <f t="shared" si="8"/>
        <v>1207.396264211787</v>
      </c>
      <c r="Q66">
        <v>40</v>
      </c>
      <c r="R66" s="1">
        <f t="shared" si="14"/>
        <v>31890.505830232763</v>
      </c>
      <c r="S66" s="1">
        <f t="shared" si="16"/>
        <v>1518.5955157253654</v>
      </c>
      <c r="T66" s="1">
        <f t="shared" si="9"/>
        <v>1518.5955157253654</v>
      </c>
      <c r="U66" s="1">
        <f t="shared" si="10"/>
        <v>0</v>
      </c>
      <c r="V66" s="1">
        <f t="shared" si="11"/>
        <v>935.48293496713165</v>
      </c>
    </row>
    <row r="67" spans="2:22" x14ac:dyDescent="0.25">
      <c r="B67">
        <v>41</v>
      </c>
      <c r="C67" s="1">
        <f t="shared" si="12"/>
        <v>44441.745146665227</v>
      </c>
      <c r="D67" s="1">
        <f t="shared" si="15"/>
        <v>2378.8797969616571</v>
      </c>
      <c r="E67" s="1">
        <f t="shared" si="2"/>
        <v>2086.3049747461109</v>
      </c>
      <c r="F67" s="1">
        <f t="shared" si="3"/>
        <v>292.57482221554608</v>
      </c>
      <c r="G67" s="1">
        <f t="shared" si="4"/>
        <v>1447.3421919175605</v>
      </c>
      <c r="J67">
        <v>41</v>
      </c>
      <c r="K67" s="1">
        <f t="shared" si="13"/>
        <v>39200</v>
      </c>
      <c r="L67" s="1">
        <f t="shared" si="5"/>
        <v>1960</v>
      </c>
      <c r="M67" s="1">
        <f t="shared" si="6"/>
        <v>1960</v>
      </c>
      <c r="N67" s="1">
        <f t="shared" si="7"/>
        <v>0</v>
      </c>
      <c r="O67" s="1">
        <f t="shared" si="8"/>
        <v>1192.4901374931228</v>
      </c>
      <c r="Q67">
        <v>41</v>
      </c>
      <c r="R67" s="1">
        <f t="shared" si="14"/>
        <v>30371.910314507397</v>
      </c>
      <c r="S67" s="1">
        <f t="shared" si="16"/>
        <v>1518.5955157253654</v>
      </c>
      <c r="T67" s="1">
        <f t="shared" si="9"/>
        <v>1518.5955157253654</v>
      </c>
      <c r="U67" s="1">
        <f t="shared" si="10"/>
        <v>0</v>
      </c>
      <c r="V67" s="1">
        <f t="shared" si="11"/>
        <v>923.93376293050039</v>
      </c>
    </row>
    <row r="68" spans="2:22" x14ac:dyDescent="0.25">
      <c r="B68">
        <v>42</v>
      </c>
      <c r="C68" s="1">
        <f t="shared" si="12"/>
        <v>42355.440171919116</v>
      </c>
      <c r="D68" s="1">
        <f t="shared" si="15"/>
        <v>2378.8797969616571</v>
      </c>
      <c r="E68" s="1">
        <f t="shared" si="2"/>
        <v>2100.0398158298563</v>
      </c>
      <c r="F68" s="1">
        <f t="shared" si="3"/>
        <v>278.83998113180081</v>
      </c>
      <c r="G68" s="1">
        <f t="shared" si="4"/>
        <v>1429.4737697951214</v>
      </c>
      <c r="J68">
        <v>42</v>
      </c>
      <c r="K68" s="1">
        <f t="shared" si="13"/>
        <v>37240</v>
      </c>
      <c r="L68" s="1">
        <f t="shared" si="5"/>
        <v>1960</v>
      </c>
      <c r="M68" s="1">
        <f t="shared" si="6"/>
        <v>1960</v>
      </c>
      <c r="N68" s="1">
        <f t="shared" si="7"/>
        <v>0</v>
      </c>
      <c r="O68" s="1">
        <f t="shared" si="8"/>
        <v>1177.7680370302446</v>
      </c>
      <c r="Q68">
        <v>42</v>
      </c>
      <c r="R68" s="1">
        <f t="shared" si="14"/>
        <v>28853.31479878203</v>
      </c>
      <c r="S68" s="1">
        <f t="shared" si="16"/>
        <v>1518.5955157253654</v>
      </c>
      <c r="T68" s="1">
        <f t="shared" si="9"/>
        <v>1518.5955157253654</v>
      </c>
      <c r="U68" s="1">
        <f t="shared" si="10"/>
        <v>0</v>
      </c>
      <c r="V68" s="1">
        <f t="shared" si="11"/>
        <v>912.52717326469167</v>
      </c>
    </row>
    <row r="69" spans="2:22" x14ac:dyDescent="0.25">
      <c r="B69">
        <v>43</v>
      </c>
      <c r="C69" s="1">
        <f t="shared" si="12"/>
        <v>40255.40035608926</v>
      </c>
      <c r="D69" s="1">
        <f t="shared" si="15"/>
        <v>2378.8797969616571</v>
      </c>
      <c r="E69" s="1">
        <f t="shared" si="2"/>
        <v>2113.8650779507361</v>
      </c>
      <c r="F69" s="1">
        <f t="shared" si="3"/>
        <v>265.01471901092094</v>
      </c>
      <c r="G69" s="1">
        <f t="shared" si="4"/>
        <v>1411.825945476663</v>
      </c>
      <c r="J69">
        <v>43</v>
      </c>
      <c r="K69" s="1">
        <f t="shared" si="13"/>
        <v>35280</v>
      </c>
      <c r="L69" s="1">
        <f t="shared" si="5"/>
        <v>1960</v>
      </c>
      <c r="M69" s="1">
        <f t="shared" si="6"/>
        <v>1960</v>
      </c>
      <c r="N69" s="1">
        <f t="shared" si="7"/>
        <v>0</v>
      </c>
      <c r="O69" s="1">
        <f t="shared" si="8"/>
        <v>1163.2276908940689</v>
      </c>
      <c r="Q69">
        <v>43</v>
      </c>
      <c r="R69" s="1">
        <f t="shared" si="14"/>
        <v>27334.719283056664</v>
      </c>
      <c r="S69" s="1">
        <f t="shared" si="16"/>
        <v>1518.5955157253654</v>
      </c>
      <c r="T69" s="1">
        <f t="shared" si="9"/>
        <v>1518.5955157253654</v>
      </c>
      <c r="U69" s="1">
        <f t="shared" si="10"/>
        <v>0</v>
      </c>
      <c r="V69" s="1">
        <f t="shared" si="11"/>
        <v>901.26140569352265</v>
      </c>
    </row>
    <row r="70" spans="2:22" x14ac:dyDescent="0.25">
      <c r="B70">
        <v>44</v>
      </c>
      <c r="C70" s="1">
        <f t="shared" si="12"/>
        <v>38141.535278138523</v>
      </c>
      <c r="D70" s="1">
        <f t="shared" si="15"/>
        <v>2378.8797969616571</v>
      </c>
      <c r="E70" s="1">
        <f t="shared" si="2"/>
        <v>2127.7813563805785</v>
      </c>
      <c r="F70" s="1">
        <f t="shared" si="3"/>
        <v>251.09844058107862</v>
      </c>
      <c r="G70" s="1">
        <f t="shared" si="4"/>
        <v>1394.395995532507</v>
      </c>
      <c r="J70">
        <v>44</v>
      </c>
      <c r="K70" s="1">
        <f t="shared" si="13"/>
        <v>33320</v>
      </c>
      <c r="L70" s="1">
        <f t="shared" si="5"/>
        <v>1960</v>
      </c>
      <c r="M70" s="1">
        <f t="shared" si="6"/>
        <v>1960</v>
      </c>
      <c r="N70" s="1">
        <f t="shared" si="7"/>
        <v>0</v>
      </c>
      <c r="O70" s="1">
        <f t="shared" si="8"/>
        <v>1148.8668552040187</v>
      </c>
      <c r="Q70">
        <v>44</v>
      </c>
      <c r="R70" s="1">
        <f t="shared" si="14"/>
        <v>25816.123767331297</v>
      </c>
      <c r="S70" s="1">
        <f t="shared" si="16"/>
        <v>1518.5955157253654</v>
      </c>
      <c r="T70" s="1">
        <f t="shared" si="9"/>
        <v>1518.5955157253654</v>
      </c>
      <c r="U70" s="1">
        <f t="shared" si="10"/>
        <v>0</v>
      </c>
      <c r="V70" s="1">
        <f t="shared" si="11"/>
        <v>890.13472167261511</v>
      </c>
    </row>
    <row r="71" spans="2:22" x14ac:dyDescent="0.25">
      <c r="B71">
        <v>45</v>
      </c>
      <c r="C71" s="1">
        <f t="shared" si="12"/>
        <v>36013.753921757947</v>
      </c>
      <c r="D71" s="1">
        <f t="shared" si="15"/>
        <v>2378.8797969616571</v>
      </c>
      <c r="E71" s="1">
        <f t="shared" si="2"/>
        <v>2141.7892503100838</v>
      </c>
      <c r="F71" s="1">
        <f t="shared" si="3"/>
        <v>237.09054665157316</v>
      </c>
      <c r="G71" s="1">
        <f t="shared" si="4"/>
        <v>1377.1812301555624</v>
      </c>
      <c r="J71">
        <v>45</v>
      </c>
      <c r="K71" s="1">
        <f t="shared" si="13"/>
        <v>31360</v>
      </c>
      <c r="L71" s="1">
        <f t="shared" si="5"/>
        <v>1960</v>
      </c>
      <c r="M71" s="1">
        <f t="shared" si="6"/>
        <v>1960</v>
      </c>
      <c r="N71" s="1">
        <f t="shared" si="7"/>
        <v>0</v>
      </c>
      <c r="O71" s="1">
        <f t="shared" si="8"/>
        <v>1134.6833137817468</v>
      </c>
      <c r="Q71">
        <v>45</v>
      </c>
      <c r="R71" s="1">
        <f t="shared" si="14"/>
        <v>24297.528251605931</v>
      </c>
      <c r="S71" s="1">
        <f t="shared" si="16"/>
        <v>1518.5955157253654</v>
      </c>
      <c r="T71" s="1">
        <f t="shared" si="9"/>
        <v>1518.5955157253654</v>
      </c>
      <c r="U71" s="1">
        <f t="shared" si="10"/>
        <v>0</v>
      </c>
      <c r="V71" s="1">
        <f t="shared" si="11"/>
        <v>879.14540412110125</v>
      </c>
    </row>
    <row r="72" spans="2:22" x14ac:dyDescent="0.25">
      <c r="B72">
        <v>46</v>
      </c>
      <c r="C72" s="1">
        <f t="shared" si="12"/>
        <v>33871.964671447866</v>
      </c>
      <c r="D72" s="1">
        <f t="shared" si="15"/>
        <v>2378.8797969616571</v>
      </c>
      <c r="E72" s="1">
        <f t="shared" si="2"/>
        <v>2155.8893628746255</v>
      </c>
      <c r="F72" s="1">
        <f t="shared" si="3"/>
        <v>222.99043408703179</v>
      </c>
      <c r="G72" s="1">
        <f t="shared" si="4"/>
        <v>1360.1789927462346</v>
      </c>
      <c r="J72">
        <v>46</v>
      </c>
      <c r="K72" s="1">
        <f t="shared" si="13"/>
        <v>29400</v>
      </c>
      <c r="L72" s="1">
        <f t="shared" si="5"/>
        <v>1960</v>
      </c>
      <c r="M72" s="1">
        <f t="shared" si="6"/>
        <v>1960</v>
      </c>
      <c r="N72" s="1">
        <f t="shared" si="7"/>
        <v>0</v>
      </c>
      <c r="O72" s="1">
        <f t="shared" si="8"/>
        <v>1120.6748778091328</v>
      </c>
      <c r="Q72">
        <v>46</v>
      </c>
      <c r="R72" s="1">
        <f t="shared" si="14"/>
        <v>22778.932735880564</v>
      </c>
      <c r="S72" s="1">
        <f t="shared" si="16"/>
        <v>1518.5955157253654</v>
      </c>
      <c r="T72" s="1">
        <f t="shared" si="9"/>
        <v>1518.5955157253654</v>
      </c>
      <c r="U72" s="1">
        <f t="shared" si="10"/>
        <v>0</v>
      </c>
      <c r="V72" s="1">
        <f t="shared" si="11"/>
        <v>868.29175715664337</v>
      </c>
    </row>
    <row r="73" spans="2:22" x14ac:dyDescent="0.25">
      <c r="B73">
        <v>47</v>
      </c>
      <c r="C73" s="1">
        <f t="shared" si="12"/>
        <v>31716.075308573239</v>
      </c>
      <c r="D73" s="1">
        <f t="shared" si="15"/>
        <v>2378.8797969616571</v>
      </c>
      <c r="E73" s="1">
        <f t="shared" si="2"/>
        <v>2170.0823011802167</v>
      </c>
      <c r="F73" s="1">
        <f t="shared" si="3"/>
        <v>208.79749578144049</v>
      </c>
      <c r="G73" s="1">
        <f t="shared" si="4"/>
        <v>1343.3866595024538</v>
      </c>
      <c r="J73">
        <v>47</v>
      </c>
      <c r="K73" s="1">
        <f t="shared" si="13"/>
        <v>27440</v>
      </c>
      <c r="L73" s="1">
        <f t="shared" si="5"/>
        <v>1960</v>
      </c>
      <c r="M73" s="1">
        <f t="shared" si="6"/>
        <v>1960</v>
      </c>
      <c r="N73" s="1">
        <f t="shared" si="7"/>
        <v>0</v>
      </c>
      <c r="O73" s="1">
        <f t="shared" si="8"/>
        <v>1106.8393854905014</v>
      </c>
      <c r="Q73">
        <v>47</v>
      </c>
      <c r="R73" s="1">
        <f t="shared" si="14"/>
        <v>21260.337220155197</v>
      </c>
      <c r="S73" s="1">
        <f t="shared" si="16"/>
        <v>1518.5955157253654</v>
      </c>
      <c r="T73" s="1">
        <f t="shared" si="9"/>
        <v>1518.5955157253654</v>
      </c>
      <c r="U73" s="1">
        <f t="shared" si="10"/>
        <v>0</v>
      </c>
      <c r="V73" s="1">
        <f t="shared" si="11"/>
        <v>857.57210583372171</v>
      </c>
    </row>
    <row r="74" spans="2:22" x14ac:dyDescent="0.25">
      <c r="B74">
        <v>48</v>
      </c>
      <c r="C74" s="1">
        <f t="shared" si="12"/>
        <v>29545.993007393023</v>
      </c>
      <c r="D74" s="1">
        <f t="shared" si="15"/>
        <v>2378.8797969616571</v>
      </c>
      <c r="E74" s="1">
        <f t="shared" si="2"/>
        <v>2184.3686763296532</v>
      </c>
      <c r="F74" s="1">
        <f t="shared" si="3"/>
        <v>194.51112063200409</v>
      </c>
      <c r="G74" s="1">
        <f t="shared" si="4"/>
        <v>1326.8016390147695</v>
      </c>
      <c r="J74">
        <v>48</v>
      </c>
      <c r="K74" s="1">
        <f t="shared" si="13"/>
        <v>25480</v>
      </c>
      <c r="L74" s="1">
        <f t="shared" si="5"/>
        <v>1960</v>
      </c>
      <c r="M74" s="1">
        <f t="shared" si="6"/>
        <v>1960</v>
      </c>
      <c r="N74" s="1">
        <f t="shared" si="7"/>
        <v>0</v>
      </c>
      <c r="O74" s="1">
        <f t="shared" si="8"/>
        <v>1093.1747017190139</v>
      </c>
      <c r="Q74">
        <v>48</v>
      </c>
      <c r="R74" s="1">
        <f t="shared" si="14"/>
        <v>19741.741704429831</v>
      </c>
      <c r="S74" s="1">
        <f t="shared" si="16"/>
        <v>1518.5955157253654</v>
      </c>
      <c r="T74" s="1">
        <f t="shared" si="9"/>
        <v>1518.5955157253654</v>
      </c>
      <c r="U74" s="1">
        <f t="shared" si="10"/>
        <v>0</v>
      </c>
      <c r="V74" s="1">
        <f t="shared" si="11"/>
        <v>846.9847958851575</v>
      </c>
    </row>
    <row r="75" spans="2:22" x14ac:dyDescent="0.25">
      <c r="B75">
        <v>49</v>
      </c>
      <c r="C75" s="1">
        <f t="shared" si="12"/>
        <v>27361.624331063369</v>
      </c>
      <c r="D75" s="1">
        <f t="shared" si="15"/>
        <v>2378.8797969616571</v>
      </c>
      <c r="E75" s="1">
        <f t="shared" si="2"/>
        <v>2198.7491034488235</v>
      </c>
      <c r="F75" s="1">
        <f t="shared" si="3"/>
        <v>180.13069351283386</v>
      </c>
      <c r="G75" s="1">
        <f t="shared" si="4"/>
        <v>1310.4213718664387</v>
      </c>
      <c r="J75">
        <v>49</v>
      </c>
      <c r="K75" s="1">
        <f t="shared" si="13"/>
        <v>23520</v>
      </c>
      <c r="L75" s="1">
        <f t="shared" si="5"/>
        <v>1960</v>
      </c>
      <c r="M75" s="1">
        <f t="shared" si="6"/>
        <v>1960</v>
      </c>
      <c r="N75" s="1">
        <f t="shared" si="7"/>
        <v>0</v>
      </c>
      <c r="O75" s="1">
        <f t="shared" si="8"/>
        <v>1079.678717747174</v>
      </c>
      <c r="Q75">
        <v>49</v>
      </c>
      <c r="R75" s="1">
        <f t="shared" si="14"/>
        <v>18223.146188704464</v>
      </c>
      <c r="S75" s="1">
        <f t="shared" si="16"/>
        <v>1518.5955157253654</v>
      </c>
      <c r="T75" s="1">
        <f t="shared" si="9"/>
        <v>1518.5955157253654</v>
      </c>
      <c r="U75" s="1">
        <f t="shared" si="10"/>
        <v>0</v>
      </c>
      <c r="V75" s="1">
        <f t="shared" si="11"/>
        <v>836.52819346682202</v>
      </c>
    </row>
    <row r="76" spans="2:22" x14ac:dyDescent="0.25">
      <c r="B76">
        <v>50</v>
      </c>
      <c r="C76" s="1">
        <f t="shared" si="12"/>
        <v>25162.875227614546</v>
      </c>
      <c r="D76" s="1">
        <f t="shared" si="15"/>
        <v>2378.8797969616571</v>
      </c>
      <c r="E76" s="1">
        <f t="shared" si="2"/>
        <v>2213.2242017131948</v>
      </c>
      <c r="F76" s="1">
        <f t="shared" si="3"/>
        <v>165.65559524846245</v>
      </c>
      <c r="G76" s="1">
        <f t="shared" si="4"/>
        <v>1294.2433302384579</v>
      </c>
      <c r="J76">
        <v>50</v>
      </c>
      <c r="K76" s="1">
        <f t="shared" si="13"/>
        <v>21560</v>
      </c>
      <c r="L76" s="1">
        <f t="shared" si="5"/>
        <v>1960</v>
      </c>
      <c r="M76" s="1">
        <f t="shared" si="6"/>
        <v>1960</v>
      </c>
      <c r="N76" s="1">
        <f t="shared" si="7"/>
        <v>0</v>
      </c>
      <c r="O76" s="1">
        <f t="shared" si="8"/>
        <v>1066.3493508614065</v>
      </c>
      <c r="Q76">
        <v>50</v>
      </c>
      <c r="R76" s="1">
        <f t="shared" si="14"/>
        <v>16704.550672979098</v>
      </c>
      <c r="S76" s="1">
        <f t="shared" si="16"/>
        <v>1518.5955157253654</v>
      </c>
      <c r="T76" s="1">
        <f t="shared" si="9"/>
        <v>1518.5955157253654</v>
      </c>
      <c r="U76" s="1">
        <f t="shared" si="10"/>
        <v>0</v>
      </c>
      <c r="V76" s="1">
        <f t="shared" si="11"/>
        <v>826.20068490550318</v>
      </c>
    </row>
    <row r="77" spans="2:22" x14ac:dyDescent="0.25">
      <c r="B77">
        <v>51</v>
      </c>
      <c r="C77" s="1">
        <f t="shared" si="12"/>
        <v>22949.651025901352</v>
      </c>
      <c r="D77" s="1">
        <f t="shared" si="15"/>
        <v>2378.8797969616571</v>
      </c>
      <c r="E77" s="1">
        <f t="shared" si="2"/>
        <v>2227.794594374473</v>
      </c>
      <c r="F77" s="1">
        <f t="shared" si="3"/>
        <v>151.08520258718389</v>
      </c>
      <c r="G77" s="1">
        <f t="shared" si="4"/>
        <v>1278.2650175194644</v>
      </c>
      <c r="J77">
        <v>51</v>
      </c>
      <c r="K77" s="1">
        <f t="shared" si="13"/>
        <v>19600</v>
      </c>
      <c r="L77" s="1">
        <f t="shared" si="5"/>
        <v>1960</v>
      </c>
      <c r="M77" s="1">
        <f t="shared" si="6"/>
        <v>1960</v>
      </c>
      <c r="N77" s="1">
        <f t="shared" si="7"/>
        <v>0</v>
      </c>
      <c r="O77" s="1">
        <f t="shared" si="8"/>
        <v>1053.1845440606482</v>
      </c>
      <c r="Q77">
        <v>51</v>
      </c>
      <c r="R77" s="1">
        <f t="shared" si="14"/>
        <v>15185.955157253733</v>
      </c>
      <c r="S77" s="1">
        <f t="shared" si="16"/>
        <v>1518.5955157253654</v>
      </c>
      <c r="T77" s="1">
        <f t="shared" si="9"/>
        <v>1518.5955157253654</v>
      </c>
      <c r="U77" s="1">
        <f t="shared" si="10"/>
        <v>0</v>
      </c>
      <c r="V77" s="1">
        <f t="shared" si="11"/>
        <v>816.00067644987962</v>
      </c>
    </row>
    <row r="78" spans="2:22" x14ac:dyDescent="0.25">
      <c r="B78">
        <v>52</v>
      </c>
      <c r="C78" s="1">
        <f t="shared" si="12"/>
        <v>20721.856431526878</v>
      </c>
      <c r="D78" s="1">
        <f t="shared" si="15"/>
        <v>2378.8797969616571</v>
      </c>
      <c r="E78" s="1">
        <f t="shared" si="2"/>
        <v>2242.4609087874387</v>
      </c>
      <c r="F78" s="1">
        <f t="shared" si="3"/>
        <v>136.41888817421861</v>
      </c>
      <c r="G78" s="1">
        <f t="shared" si="4"/>
        <v>1262.483967920459</v>
      </c>
      <c r="J78">
        <v>52</v>
      </c>
      <c r="K78" s="1">
        <f t="shared" si="13"/>
        <v>17640</v>
      </c>
      <c r="L78" s="1">
        <f t="shared" si="5"/>
        <v>1960</v>
      </c>
      <c r="M78" s="1">
        <f t="shared" si="6"/>
        <v>1960</v>
      </c>
      <c r="N78" s="1">
        <f t="shared" si="7"/>
        <v>0</v>
      </c>
      <c r="O78" s="1">
        <f t="shared" si="8"/>
        <v>1040.1822657389121</v>
      </c>
      <c r="Q78">
        <v>52</v>
      </c>
      <c r="R78" s="1">
        <f t="shared" si="14"/>
        <v>13667.359641528368</v>
      </c>
      <c r="S78" s="1">
        <f t="shared" si="16"/>
        <v>1518.5955157253654</v>
      </c>
      <c r="T78" s="1">
        <f t="shared" si="9"/>
        <v>1518.5955157253654</v>
      </c>
      <c r="U78" s="1">
        <f t="shared" si="10"/>
        <v>0</v>
      </c>
      <c r="V78" s="1">
        <f t="shared" si="11"/>
        <v>805.92659402457252</v>
      </c>
    </row>
    <row r="79" spans="2:22" x14ac:dyDescent="0.25">
      <c r="B79">
        <v>53</v>
      </c>
      <c r="C79" s="1">
        <f t="shared" si="12"/>
        <v>18479.39552273944</v>
      </c>
      <c r="D79" s="1">
        <f t="shared" si="15"/>
        <v>2378.8797969616571</v>
      </c>
      <c r="E79" s="1">
        <f t="shared" si="2"/>
        <v>2257.2237764369556</v>
      </c>
      <c r="F79" s="1">
        <f t="shared" si="3"/>
        <v>121.65602052470132</v>
      </c>
      <c r="G79" s="1">
        <f t="shared" si="4"/>
        <v>1246.8977460942804</v>
      </c>
      <c r="J79">
        <v>53</v>
      </c>
      <c r="K79" s="1">
        <f t="shared" si="13"/>
        <v>15680</v>
      </c>
      <c r="L79" s="1">
        <f t="shared" si="5"/>
        <v>1960</v>
      </c>
      <c r="M79" s="1">
        <f t="shared" si="6"/>
        <v>1960</v>
      </c>
      <c r="N79" s="1">
        <f t="shared" si="7"/>
        <v>0</v>
      </c>
      <c r="O79" s="1">
        <f t="shared" si="8"/>
        <v>1027.3405093717649</v>
      </c>
      <c r="Q79">
        <v>53</v>
      </c>
      <c r="R79" s="1">
        <f t="shared" si="14"/>
        <v>12148.764125803003</v>
      </c>
      <c r="S79" s="1">
        <f t="shared" si="16"/>
        <v>1518.5955157253654</v>
      </c>
      <c r="T79" s="1">
        <f t="shared" si="9"/>
        <v>1518.5955157253654</v>
      </c>
      <c r="U79" s="1">
        <f t="shared" si="10"/>
        <v>0</v>
      </c>
      <c r="V79" s="1">
        <f t="shared" si="11"/>
        <v>795.97688298723222</v>
      </c>
    </row>
    <row r="80" spans="2:22" x14ac:dyDescent="0.25">
      <c r="B80">
        <v>54</v>
      </c>
      <c r="C80" s="1">
        <f t="shared" si="12"/>
        <v>16222.171746302483</v>
      </c>
      <c r="D80" s="1">
        <f t="shared" si="15"/>
        <v>2378.8797969616571</v>
      </c>
      <c r="E80" s="1">
        <f t="shared" si="2"/>
        <v>2272.0838329651656</v>
      </c>
      <c r="F80" s="1">
        <f t="shared" si="3"/>
        <v>106.79596399649135</v>
      </c>
      <c r="G80" s="1">
        <f t="shared" si="4"/>
        <v>1231.5039467597833</v>
      </c>
      <c r="J80">
        <v>54</v>
      </c>
      <c r="K80" s="1">
        <f t="shared" si="13"/>
        <v>13720</v>
      </c>
      <c r="L80" s="1">
        <f t="shared" si="5"/>
        <v>1960</v>
      </c>
      <c r="M80" s="1">
        <f t="shared" si="6"/>
        <v>1960</v>
      </c>
      <c r="N80" s="1">
        <f t="shared" si="7"/>
        <v>0</v>
      </c>
      <c r="O80" s="1">
        <f t="shared" si="8"/>
        <v>1014.6572932066816</v>
      </c>
      <c r="Q80">
        <v>54</v>
      </c>
      <c r="R80" s="1">
        <f t="shared" si="14"/>
        <v>10630.168610077639</v>
      </c>
      <c r="S80" s="1">
        <f t="shared" si="16"/>
        <v>1518.5955157253654</v>
      </c>
      <c r="T80" s="1">
        <f t="shared" si="9"/>
        <v>1518.5955157253654</v>
      </c>
      <c r="U80" s="1">
        <f t="shared" si="10"/>
        <v>0</v>
      </c>
      <c r="V80" s="1">
        <f t="shared" si="11"/>
        <v>786.15000788862449</v>
      </c>
    </row>
    <row r="81" spans="2:22" x14ac:dyDescent="0.25">
      <c r="B81">
        <v>55</v>
      </c>
      <c r="C81" s="1">
        <f t="shared" si="12"/>
        <v>13950.087913337318</v>
      </c>
      <c r="D81" s="1">
        <f t="shared" si="15"/>
        <v>2378.8797969616571</v>
      </c>
      <c r="E81" s="1">
        <f t="shared" si="2"/>
        <v>2287.0417181988532</v>
      </c>
      <c r="F81" s="1">
        <f t="shared" si="3"/>
        <v>91.838078762804017</v>
      </c>
      <c r="G81" s="1">
        <f t="shared" si="4"/>
        <v>1216.3001943306501</v>
      </c>
      <c r="J81">
        <v>55</v>
      </c>
      <c r="K81" s="1">
        <f t="shared" si="13"/>
        <v>11760</v>
      </c>
      <c r="L81" s="1">
        <f t="shared" si="5"/>
        <v>1960</v>
      </c>
      <c r="M81" s="1">
        <f t="shared" si="6"/>
        <v>1960</v>
      </c>
      <c r="N81" s="1">
        <f t="shared" si="7"/>
        <v>0</v>
      </c>
      <c r="O81" s="1">
        <f t="shared" si="8"/>
        <v>1002.1306599572164</v>
      </c>
      <c r="Q81">
        <v>55</v>
      </c>
      <c r="R81" s="1">
        <f t="shared" si="14"/>
        <v>9111.573094352274</v>
      </c>
      <c r="S81" s="1">
        <f t="shared" si="16"/>
        <v>1518.5955157253654</v>
      </c>
      <c r="T81" s="1">
        <f t="shared" si="9"/>
        <v>1518.5955157253654</v>
      </c>
      <c r="U81" s="1">
        <f t="shared" si="10"/>
        <v>0</v>
      </c>
      <c r="V81" s="1">
        <f t="shared" si="11"/>
        <v>776.44445223567845</v>
      </c>
    </row>
    <row r="82" spans="2:22" x14ac:dyDescent="0.25">
      <c r="B82">
        <v>56</v>
      </c>
      <c r="C82" s="1">
        <f t="shared" si="12"/>
        <v>11663.046195138464</v>
      </c>
      <c r="D82" s="1">
        <f t="shared" si="15"/>
        <v>2378.8797969616571</v>
      </c>
      <c r="E82" s="1">
        <f t="shared" si="2"/>
        <v>2302.0980761769956</v>
      </c>
      <c r="F82" s="1">
        <f t="shared" si="3"/>
        <v>76.781720784661559</v>
      </c>
      <c r="G82" s="1">
        <f t="shared" si="4"/>
        <v>1201.2841425487904</v>
      </c>
      <c r="J82">
        <v>56</v>
      </c>
      <c r="K82" s="1">
        <f t="shared" si="13"/>
        <v>9800</v>
      </c>
      <c r="L82" s="1">
        <f t="shared" si="5"/>
        <v>1960</v>
      </c>
      <c r="M82" s="1">
        <f t="shared" si="6"/>
        <v>1960</v>
      </c>
      <c r="N82" s="1">
        <f t="shared" si="7"/>
        <v>0</v>
      </c>
      <c r="O82" s="1">
        <f t="shared" si="8"/>
        <v>989.75867650095449</v>
      </c>
      <c r="Q82">
        <v>56</v>
      </c>
      <c r="R82" s="1">
        <f t="shared" si="14"/>
        <v>7592.9775786269083</v>
      </c>
      <c r="S82" s="1">
        <f t="shared" si="16"/>
        <v>1518.5955157253654</v>
      </c>
      <c r="T82" s="1">
        <f t="shared" si="9"/>
        <v>1518.5955157253654</v>
      </c>
      <c r="U82" s="1">
        <f t="shared" si="10"/>
        <v>0</v>
      </c>
      <c r="V82" s="1">
        <f t="shared" si="11"/>
        <v>766.85871825746028</v>
      </c>
    </row>
    <row r="83" spans="2:22" x14ac:dyDescent="0.25">
      <c r="B83">
        <v>57</v>
      </c>
      <c r="C83" s="1">
        <f t="shared" si="12"/>
        <v>9360.9481189614689</v>
      </c>
      <c r="D83" s="1">
        <f t="shared" si="15"/>
        <v>2378.8797969616571</v>
      </c>
      <c r="E83" s="1">
        <f t="shared" si="2"/>
        <v>2317.253555178494</v>
      </c>
      <c r="F83" s="1">
        <f t="shared" si="3"/>
        <v>61.626241783163003</v>
      </c>
      <c r="G83" s="1">
        <f t="shared" si="4"/>
        <v>1186.4534741222622</v>
      </c>
      <c r="J83">
        <v>57</v>
      </c>
      <c r="K83" s="1">
        <f t="shared" si="13"/>
        <v>7840</v>
      </c>
      <c r="L83" s="1">
        <f t="shared" si="5"/>
        <v>1960</v>
      </c>
      <c r="M83" s="1">
        <f t="shared" si="6"/>
        <v>1960</v>
      </c>
      <c r="N83" s="1">
        <f t="shared" si="7"/>
        <v>0</v>
      </c>
      <c r="O83" s="1">
        <f t="shared" si="8"/>
        <v>977.53943358118966</v>
      </c>
      <c r="Q83">
        <v>57</v>
      </c>
      <c r="R83" s="1">
        <f t="shared" si="14"/>
        <v>6074.3820629015427</v>
      </c>
      <c r="S83" s="1">
        <f t="shared" si="16"/>
        <v>1518.5955157253654</v>
      </c>
      <c r="T83" s="1">
        <f t="shared" si="9"/>
        <v>1518.5955157253654</v>
      </c>
      <c r="U83" s="1">
        <f t="shared" si="10"/>
        <v>0</v>
      </c>
      <c r="V83" s="1">
        <f t="shared" si="11"/>
        <v>757.39132667403487</v>
      </c>
    </row>
    <row r="84" spans="2:22" x14ac:dyDescent="0.25">
      <c r="B84">
        <v>58</v>
      </c>
      <c r="C84" s="1">
        <f t="shared" si="12"/>
        <v>7043.6945637829749</v>
      </c>
      <c r="D84" s="1">
        <f t="shared" si="15"/>
        <v>2378.8797969616571</v>
      </c>
      <c r="E84" s="1">
        <f t="shared" si="2"/>
        <v>2332.5088077500859</v>
      </c>
      <c r="F84" s="1">
        <f t="shared" si="3"/>
        <v>46.370989211571249</v>
      </c>
      <c r="G84" s="1">
        <f t="shared" si="4"/>
        <v>1171.8059003676663</v>
      </c>
      <c r="J84">
        <v>58</v>
      </c>
      <c r="K84" s="1">
        <f t="shared" si="13"/>
        <v>5880</v>
      </c>
      <c r="L84" s="1">
        <f t="shared" si="5"/>
        <v>1960</v>
      </c>
      <c r="M84" s="1">
        <f t="shared" si="6"/>
        <v>1960</v>
      </c>
      <c r="N84" s="1">
        <f t="shared" si="7"/>
        <v>0</v>
      </c>
      <c r="O84" s="1">
        <f t="shared" si="8"/>
        <v>965.47104551228608</v>
      </c>
      <c r="Q84">
        <v>58</v>
      </c>
      <c r="R84" s="1">
        <f t="shared" si="14"/>
        <v>4555.786547176177</v>
      </c>
      <c r="S84" s="1">
        <f t="shared" si="16"/>
        <v>1518.5955157253654</v>
      </c>
      <c r="T84" s="1">
        <f t="shared" si="9"/>
        <v>1518.5955157253654</v>
      </c>
      <c r="U84" s="1">
        <f t="shared" si="10"/>
        <v>0</v>
      </c>
      <c r="V84" s="1">
        <f t="shared" si="11"/>
        <v>748.04081646818258</v>
      </c>
    </row>
    <row r="85" spans="2:22" x14ac:dyDescent="0.25">
      <c r="B85">
        <v>59</v>
      </c>
      <c r="C85" s="1">
        <f t="shared" si="12"/>
        <v>4711.185756032889</v>
      </c>
      <c r="D85" s="1">
        <f t="shared" si="15"/>
        <v>2378.8797969616571</v>
      </c>
      <c r="E85" s="1">
        <f t="shared" si="2"/>
        <v>2347.8644907344406</v>
      </c>
      <c r="F85" s="1">
        <f t="shared" si="3"/>
        <v>31.015306227216517</v>
      </c>
      <c r="G85" s="1">
        <f t="shared" si="4"/>
        <v>1157.3391608569541</v>
      </c>
      <c r="J85">
        <v>59</v>
      </c>
      <c r="K85" s="1">
        <f t="shared" si="13"/>
        <v>3920</v>
      </c>
      <c r="L85" s="1">
        <f t="shared" si="5"/>
        <v>1960</v>
      </c>
      <c r="M85" s="1">
        <f t="shared" si="6"/>
        <v>1960</v>
      </c>
      <c r="N85" s="1">
        <f t="shared" si="7"/>
        <v>0</v>
      </c>
      <c r="O85" s="1">
        <f t="shared" si="8"/>
        <v>953.55164988867739</v>
      </c>
      <c r="Q85">
        <v>59</v>
      </c>
      <c r="R85" s="1">
        <f t="shared" si="14"/>
        <v>3037.1910314508114</v>
      </c>
      <c r="S85" s="1">
        <f t="shared" si="16"/>
        <v>1518.5955157253654</v>
      </c>
      <c r="T85" s="1">
        <f t="shared" si="9"/>
        <v>1518.5955157253654</v>
      </c>
      <c r="U85" s="1">
        <f t="shared" si="10"/>
        <v>0</v>
      </c>
      <c r="V85" s="1">
        <f t="shared" si="11"/>
        <v>738.80574465993323</v>
      </c>
    </row>
    <row r="86" spans="2:22" x14ac:dyDescent="0.25">
      <c r="B86">
        <v>60</v>
      </c>
      <c r="C86" s="1">
        <f t="shared" si="12"/>
        <v>2363.3212652984485</v>
      </c>
      <c r="D86" s="1">
        <f t="shared" si="15"/>
        <v>2378.8797969616571</v>
      </c>
      <c r="E86" s="1">
        <f t="shared" si="2"/>
        <v>2363.3212652984425</v>
      </c>
      <c r="F86" s="1">
        <f t="shared" si="3"/>
        <v>15.558531663214787</v>
      </c>
      <c r="G86" s="1">
        <f t="shared" si="4"/>
        <v>1143.051023068597</v>
      </c>
      <c r="J86">
        <v>60</v>
      </c>
      <c r="K86" s="1">
        <f t="shared" si="13"/>
        <v>1960</v>
      </c>
      <c r="L86" s="1">
        <f t="shared" si="5"/>
        <v>1960</v>
      </c>
      <c r="M86" s="1">
        <f t="shared" si="6"/>
        <v>1960</v>
      </c>
      <c r="N86" s="1">
        <f t="shared" si="7"/>
        <v>0</v>
      </c>
      <c r="O86" s="1">
        <f t="shared" si="8"/>
        <v>941.77940729745944</v>
      </c>
      <c r="Q86">
        <v>60</v>
      </c>
      <c r="R86" s="1">
        <f t="shared" si="14"/>
        <v>1518.5955157254459</v>
      </c>
      <c r="S86" s="1">
        <f t="shared" si="16"/>
        <v>1518.5955157253654</v>
      </c>
      <c r="T86" s="1">
        <f t="shared" si="9"/>
        <v>1518.5955157253654</v>
      </c>
      <c r="U86" s="1">
        <f t="shared" si="10"/>
        <v>0</v>
      </c>
      <c r="V86" s="1">
        <f t="shared" si="11"/>
        <v>729.68468608388491</v>
      </c>
    </row>
    <row r="87" spans="2:22" x14ac:dyDescent="0.25">
      <c r="B87">
        <v>61</v>
      </c>
      <c r="C87" s="1">
        <f t="shared" si="12"/>
        <v>5.9117155615240335E-12</v>
      </c>
      <c r="D87" s="1">
        <f t="shared" si="15"/>
        <v>0</v>
      </c>
      <c r="E87" s="1">
        <f t="shared" si="2"/>
        <v>-3.8918794113366553E-14</v>
      </c>
      <c r="F87" s="1">
        <f t="shared" si="3"/>
        <v>3.8918794113366553E-14</v>
      </c>
      <c r="G87" s="1">
        <f t="shared" si="4"/>
        <v>0</v>
      </c>
      <c r="J87">
        <v>61</v>
      </c>
      <c r="K87" s="1">
        <f t="shared" si="13"/>
        <v>0</v>
      </c>
      <c r="L87" s="1">
        <f t="shared" si="5"/>
        <v>0</v>
      </c>
      <c r="M87" s="1">
        <f t="shared" si="6"/>
        <v>0</v>
      </c>
      <c r="N87" s="1">
        <f t="shared" si="7"/>
        <v>0</v>
      </c>
      <c r="O87" s="1">
        <f t="shared" si="8"/>
        <v>0</v>
      </c>
      <c r="Q87">
        <v>61</v>
      </c>
      <c r="R87" s="1">
        <f t="shared" si="14"/>
        <v>8.0490281106904149E-11</v>
      </c>
      <c r="S87" s="1">
        <f t="shared" si="16"/>
        <v>0</v>
      </c>
      <c r="T87" s="1">
        <f t="shared" si="9"/>
        <v>0</v>
      </c>
      <c r="U87" s="1">
        <f t="shared" si="10"/>
        <v>0</v>
      </c>
      <c r="V87" s="1">
        <f t="shared" si="11"/>
        <v>0</v>
      </c>
    </row>
    <row r="88" spans="2:22" x14ac:dyDescent="0.25">
      <c r="B88">
        <v>62</v>
      </c>
      <c r="C88" s="1">
        <f t="shared" si="12"/>
        <v>5.9506343556374004E-12</v>
      </c>
      <c r="D88" s="1">
        <f t="shared" si="15"/>
        <v>0</v>
      </c>
      <c r="E88" s="1">
        <f t="shared" si="2"/>
        <v>-3.9175009507946224E-14</v>
      </c>
      <c r="F88" s="1">
        <f t="shared" si="3"/>
        <v>3.9175009507946224E-14</v>
      </c>
      <c r="G88" s="1">
        <f t="shared" si="4"/>
        <v>0</v>
      </c>
      <c r="J88">
        <v>62</v>
      </c>
      <c r="K88" s="1">
        <f t="shared" si="13"/>
        <v>0</v>
      </c>
      <c r="L88" s="1">
        <f t="shared" si="5"/>
        <v>0</v>
      </c>
      <c r="M88" s="1">
        <f t="shared" si="6"/>
        <v>0</v>
      </c>
      <c r="N88" s="1">
        <f t="shared" si="7"/>
        <v>0</v>
      </c>
      <c r="O88" s="1">
        <f t="shared" si="8"/>
        <v>0</v>
      </c>
      <c r="Q88">
        <v>62</v>
      </c>
      <c r="R88" s="1">
        <f t="shared" si="14"/>
        <v>8.0490281106904149E-11</v>
      </c>
      <c r="S88" s="1">
        <f t="shared" si="16"/>
        <v>0</v>
      </c>
      <c r="T88" s="1">
        <f t="shared" si="9"/>
        <v>0</v>
      </c>
      <c r="U88" s="1">
        <f t="shared" si="10"/>
        <v>0</v>
      </c>
      <c r="V88" s="1">
        <f t="shared" si="11"/>
        <v>0</v>
      </c>
    </row>
    <row r="89" spans="2:22" x14ac:dyDescent="0.25">
      <c r="B89">
        <v>63</v>
      </c>
      <c r="C89" s="1">
        <f t="shared" si="12"/>
        <v>5.9898093651453466E-12</v>
      </c>
      <c r="D89" s="1">
        <f t="shared" si="15"/>
        <v>0</v>
      </c>
      <c r="E89" s="1">
        <f t="shared" si="2"/>
        <v>-3.9432911653873528E-14</v>
      </c>
      <c r="F89" s="1">
        <f t="shared" si="3"/>
        <v>3.9432911653873528E-14</v>
      </c>
      <c r="G89" s="1">
        <f t="shared" si="4"/>
        <v>0</v>
      </c>
      <c r="J89">
        <v>63</v>
      </c>
      <c r="K89" s="1">
        <f t="shared" si="13"/>
        <v>0</v>
      </c>
      <c r="L89" s="1">
        <f t="shared" si="5"/>
        <v>0</v>
      </c>
      <c r="M89" s="1">
        <f t="shared" si="6"/>
        <v>0</v>
      </c>
      <c r="N89" s="1">
        <f t="shared" si="7"/>
        <v>0</v>
      </c>
      <c r="O89" s="1">
        <f t="shared" si="8"/>
        <v>0</v>
      </c>
      <c r="Q89">
        <v>63</v>
      </c>
      <c r="R89" s="1">
        <f t="shared" si="14"/>
        <v>8.0490281106904149E-11</v>
      </c>
      <c r="S89" s="1">
        <f t="shared" si="16"/>
        <v>0</v>
      </c>
      <c r="T89" s="1">
        <f t="shared" si="9"/>
        <v>0</v>
      </c>
      <c r="U89" s="1">
        <f t="shared" si="10"/>
        <v>0</v>
      </c>
      <c r="V89" s="1">
        <f t="shared" si="11"/>
        <v>0</v>
      </c>
    </row>
    <row r="90" spans="2:22" x14ac:dyDescent="0.25">
      <c r="B90">
        <v>64</v>
      </c>
      <c r="C90" s="1">
        <f t="shared" si="12"/>
        <v>6.02924227679922E-12</v>
      </c>
      <c r="D90" s="1">
        <f t="shared" si="15"/>
        <v>0</v>
      </c>
      <c r="E90" s="1">
        <f t="shared" si="2"/>
        <v>-3.9692511655594866E-14</v>
      </c>
      <c r="F90" s="1">
        <f t="shared" si="3"/>
        <v>3.9692511655594866E-14</v>
      </c>
      <c r="G90" s="1">
        <f t="shared" si="4"/>
        <v>0</v>
      </c>
      <c r="J90">
        <v>64</v>
      </c>
      <c r="K90" s="1">
        <f t="shared" si="13"/>
        <v>0</v>
      </c>
      <c r="L90" s="1">
        <f t="shared" si="5"/>
        <v>0</v>
      </c>
      <c r="M90" s="1">
        <f t="shared" si="6"/>
        <v>0</v>
      </c>
      <c r="N90" s="1">
        <f t="shared" si="7"/>
        <v>0</v>
      </c>
      <c r="O90" s="1">
        <f t="shared" si="8"/>
        <v>0</v>
      </c>
      <c r="Q90">
        <v>64</v>
      </c>
      <c r="R90" s="1">
        <f t="shared" si="14"/>
        <v>8.0490281106904149E-11</v>
      </c>
      <c r="S90" s="1">
        <f t="shared" si="16"/>
        <v>0</v>
      </c>
      <c r="T90" s="1">
        <f t="shared" si="9"/>
        <v>0</v>
      </c>
      <c r="U90" s="1">
        <f t="shared" si="10"/>
        <v>0</v>
      </c>
      <c r="V90" s="1">
        <f t="shared" si="11"/>
        <v>0</v>
      </c>
    </row>
    <row r="91" spans="2:22" x14ac:dyDescent="0.25">
      <c r="B91">
        <v>65</v>
      </c>
      <c r="C91" s="1">
        <f t="shared" si="12"/>
        <v>6.0689347884548152E-12</v>
      </c>
      <c r="D91" s="1">
        <f t="shared" ref="D91:D122" si="17">IF($B91&lt;=$D$17,$D$18,0)</f>
        <v>0</v>
      </c>
      <c r="E91" s="1">
        <f t="shared" si="2"/>
        <v>-3.9953820690660865E-14</v>
      </c>
      <c r="F91" s="1">
        <f t="shared" si="3"/>
        <v>3.9953820690660865E-14</v>
      </c>
      <c r="G91" s="1">
        <f t="shared" si="4"/>
        <v>0</v>
      </c>
      <c r="J91">
        <v>65</v>
      </c>
      <c r="K91" s="1">
        <f t="shared" si="13"/>
        <v>0</v>
      </c>
      <c r="L91" s="1">
        <f t="shared" si="5"/>
        <v>0</v>
      </c>
      <c r="M91" s="1">
        <f t="shared" si="6"/>
        <v>0</v>
      </c>
      <c r="N91" s="1">
        <f t="shared" si="7"/>
        <v>0</v>
      </c>
      <c r="O91" s="1">
        <f t="shared" si="8"/>
        <v>0</v>
      </c>
      <c r="Q91">
        <v>65</v>
      </c>
      <c r="R91" s="1">
        <f t="shared" si="14"/>
        <v>8.0490281106904149E-11</v>
      </c>
      <c r="S91" s="1">
        <f t="shared" ref="S91:S122" si="18">IF($Q91&lt;=VALUE($N$9),($M$7-$M$14)/$N$9,0)</f>
        <v>0</v>
      </c>
      <c r="T91" s="1">
        <f t="shared" si="9"/>
        <v>0</v>
      </c>
      <c r="U91" s="1">
        <f t="shared" si="10"/>
        <v>0</v>
      </c>
      <c r="V91" s="1">
        <f t="shared" si="11"/>
        <v>0</v>
      </c>
    </row>
    <row r="92" spans="2:22" x14ac:dyDescent="0.25">
      <c r="B92">
        <v>66</v>
      </c>
      <c r="C92" s="1">
        <f t="shared" si="12"/>
        <v>6.1088886091454763E-12</v>
      </c>
      <c r="D92" s="1">
        <f t="shared" si="17"/>
        <v>0</v>
      </c>
      <c r="E92" s="1">
        <f t="shared" ref="E92:E146" si="19">D92-F92</f>
        <v>-4.0216850010207718E-14</v>
      </c>
      <c r="F92" s="1">
        <f t="shared" ref="F92:F146" si="20">C92*$D$13/12</f>
        <v>4.0216850010207718E-14</v>
      </c>
      <c r="G92" s="1">
        <f t="shared" ref="G92:G146" si="21">D92/(1+$D$7/12)^(B92-1)</f>
        <v>0</v>
      </c>
      <c r="J92">
        <v>66</v>
      </c>
      <c r="K92" s="1">
        <f t="shared" si="13"/>
        <v>0</v>
      </c>
      <c r="L92" s="1">
        <f t="shared" ref="L92:L146" si="22">IF($J92&lt;=VALUE($N$9),$M$11,0)</f>
        <v>0</v>
      </c>
      <c r="M92" s="1">
        <f t="shared" ref="M92:M146" si="23">L92-N92</f>
        <v>0</v>
      </c>
      <c r="N92" s="1">
        <f t="shared" ref="N92:N146" si="24">K92*0/12</f>
        <v>0</v>
      </c>
      <c r="O92" s="1">
        <f t="shared" ref="O92:O146" si="25">L92/(1+$D$7/12)^(J92-1)</f>
        <v>0</v>
      </c>
      <c r="Q92">
        <v>66</v>
      </c>
      <c r="R92" s="1">
        <f t="shared" si="14"/>
        <v>8.0490281106904149E-11</v>
      </c>
      <c r="S92" s="1">
        <f t="shared" si="18"/>
        <v>0</v>
      </c>
      <c r="T92" s="1">
        <f t="shared" ref="T92:T146" si="26">S92-U92</f>
        <v>0</v>
      </c>
      <c r="U92" s="1">
        <f t="shared" ref="U92:U146" si="27">R92*0/12</f>
        <v>0</v>
      </c>
      <c r="V92" s="1">
        <f t="shared" ref="V92:V146" si="28">S92/(1+$D$7/12)^(Q92-1)</f>
        <v>0</v>
      </c>
    </row>
    <row r="93" spans="2:22" x14ac:dyDescent="0.25">
      <c r="B93">
        <v>67</v>
      </c>
      <c r="C93" s="1">
        <f t="shared" ref="C93:C146" si="29">C92-E92</f>
        <v>6.1491054591556842E-12</v>
      </c>
      <c r="D93" s="1">
        <f t="shared" si="17"/>
        <v>0</v>
      </c>
      <c r="E93" s="1">
        <f t="shared" si="19"/>
        <v>-4.0481610939441592E-14</v>
      </c>
      <c r="F93" s="1">
        <f t="shared" si="20"/>
        <v>4.0481610939441592E-14</v>
      </c>
      <c r="G93" s="1">
        <f t="shared" si="21"/>
        <v>0</v>
      </c>
      <c r="J93">
        <v>67</v>
      </c>
      <c r="K93" s="1">
        <f t="shared" ref="K93:K146" si="30">K92-M92</f>
        <v>0</v>
      </c>
      <c r="L93" s="1">
        <f t="shared" si="22"/>
        <v>0</v>
      </c>
      <c r="M93" s="1">
        <f t="shared" si="23"/>
        <v>0</v>
      </c>
      <c r="N93" s="1">
        <f t="shared" si="24"/>
        <v>0</v>
      </c>
      <c r="O93" s="1">
        <f t="shared" si="25"/>
        <v>0</v>
      </c>
      <c r="Q93">
        <v>67</v>
      </c>
      <c r="R93" s="1">
        <f t="shared" ref="R93:R146" si="31">R92-T92</f>
        <v>8.0490281106904149E-11</v>
      </c>
      <c r="S93" s="1">
        <f t="shared" si="18"/>
        <v>0</v>
      </c>
      <c r="T93" s="1">
        <f t="shared" si="26"/>
        <v>0</v>
      </c>
      <c r="U93" s="1">
        <f t="shared" si="27"/>
        <v>0</v>
      </c>
      <c r="V93" s="1">
        <f t="shared" si="28"/>
        <v>0</v>
      </c>
    </row>
    <row r="94" spans="2:22" x14ac:dyDescent="0.25">
      <c r="B94">
        <v>68</v>
      </c>
      <c r="C94" s="1">
        <f t="shared" si="29"/>
        <v>6.1895870700951259E-12</v>
      </c>
      <c r="D94" s="1">
        <f t="shared" si="17"/>
        <v>0</v>
      </c>
      <c r="E94" s="1">
        <f t="shared" si="19"/>
        <v>-4.0748114878126242E-14</v>
      </c>
      <c r="F94" s="1">
        <f t="shared" si="20"/>
        <v>4.0748114878126242E-14</v>
      </c>
      <c r="G94" s="1">
        <f t="shared" si="21"/>
        <v>0</v>
      </c>
      <c r="J94">
        <v>68</v>
      </c>
      <c r="K94" s="1">
        <f t="shared" si="30"/>
        <v>0</v>
      </c>
      <c r="L94" s="1">
        <f t="shared" si="22"/>
        <v>0</v>
      </c>
      <c r="M94" s="1">
        <f t="shared" si="23"/>
        <v>0</v>
      </c>
      <c r="N94" s="1">
        <f t="shared" si="24"/>
        <v>0</v>
      </c>
      <c r="O94" s="1">
        <f t="shared" si="25"/>
        <v>0</v>
      </c>
      <c r="Q94">
        <v>68</v>
      </c>
      <c r="R94" s="1">
        <f t="shared" si="31"/>
        <v>8.0490281106904149E-11</v>
      </c>
      <c r="S94" s="1">
        <f t="shared" si="18"/>
        <v>0</v>
      </c>
      <c r="T94" s="1">
        <f t="shared" si="26"/>
        <v>0</v>
      </c>
      <c r="U94" s="1">
        <f t="shared" si="27"/>
        <v>0</v>
      </c>
      <c r="V94" s="1">
        <f t="shared" si="28"/>
        <v>0</v>
      </c>
    </row>
    <row r="95" spans="2:22" x14ac:dyDescent="0.25">
      <c r="B95">
        <v>69</v>
      </c>
      <c r="C95" s="1">
        <f t="shared" si="29"/>
        <v>6.2303351849732524E-12</v>
      </c>
      <c r="D95" s="1">
        <f t="shared" si="17"/>
        <v>0</v>
      </c>
      <c r="E95" s="1">
        <f t="shared" si="19"/>
        <v>-4.1016373301073909E-14</v>
      </c>
      <c r="F95" s="1">
        <f t="shared" si="20"/>
        <v>4.1016373301073909E-14</v>
      </c>
      <c r="G95" s="1">
        <f t="shared" si="21"/>
        <v>0</v>
      </c>
      <c r="J95">
        <v>69</v>
      </c>
      <c r="K95" s="1">
        <f t="shared" si="30"/>
        <v>0</v>
      </c>
      <c r="L95" s="1">
        <f t="shared" si="22"/>
        <v>0</v>
      </c>
      <c r="M95" s="1">
        <f t="shared" si="23"/>
        <v>0</v>
      </c>
      <c r="N95" s="1">
        <f t="shared" si="24"/>
        <v>0</v>
      </c>
      <c r="O95" s="1">
        <f t="shared" si="25"/>
        <v>0</v>
      </c>
      <c r="Q95">
        <v>69</v>
      </c>
      <c r="R95" s="1">
        <f t="shared" si="31"/>
        <v>8.0490281106904149E-11</v>
      </c>
      <c r="S95" s="1">
        <f t="shared" si="18"/>
        <v>0</v>
      </c>
      <c r="T95" s="1">
        <f t="shared" si="26"/>
        <v>0</v>
      </c>
      <c r="U95" s="1">
        <f t="shared" si="27"/>
        <v>0</v>
      </c>
      <c r="V95" s="1">
        <f t="shared" si="28"/>
        <v>0</v>
      </c>
    </row>
    <row r="96" spans="2:22" x14ac:dyDescent="0.25">
      <c r="B96">
        <v>70</v>
      </c>
      <c r="C96" s="1">
        <f t="shared" si="29"/>
        <v>6.2713515582743261E-12</v>
      </c>
      <c r="D96" s="1">
        <f t="shared" si="17"/>
        <v>0</v>
      </c>
      <c r="E96" s="1">
        <f t="shared" si="19"/>
        <v>-4.1286397758639314E-14</v>
      </c>
      <c r="F96" s="1">
        <f t="shared" si="20"/>
        <v>4.1286397758639314E-14</v>
      </c>
      <c r="G96" s="1">
        <f t="shared" si="21"/>
        <v>0</v>
      </c>
      <c r="J96">
        <v>70</v>
      </c>
      <c r="K96" s="1">
        <f t="shared" si="30"/>
        <v>0</v>
      </c>
      <c r="L96" s="1">
        <f t="shared" si="22"/>
        <v>0</v>
      </c>
      <c r="M96" s="1">
        <f t="shared" si="23"/>
        <v>0</v>
      </c>
      <c r="N96" s="1">
        <f t="shared" si="24"/>
        <v>0</v>
      </c>
      <c r="O96" s="1">
        <f t="shared" si="25"/>
        <v>0</v>
      </c>
      <c r="Q96">
        <v>70</v>
      </c>
      <c r="R96" s="1">
        <f t="shared" si="31"/>
        <v>8.0490281106904149E-11</v>
      </c>
      <c r="S96" s="1">
        <f t="shared" si="18"/>
        <v>0</v>
      </c>
      <c r="T96" s="1">
        <f t="shared" si="26"/>
        <v>0</v>
      </c>
      <c r="U96" s="1">
        <f t="shared" si="27"/>
        <v>0</v>
      </c>
      <c r="V96" s="1">
        <f t="shared" si="28"/>
        <v>0</v>
      </c>
    </row>
    <row r="97" spans="2:22" x14ac:dyDescent="0.25">
      <c r="B97">
        <v>71</v>
      </c>
      <c r="C97" s="1">
        <f t="shared" si="29"/>
        <v>6.3126379560329655E-12</v>
      </c>
      <c r="D97" s="1">
        <f t="shared" si="17"/>
        <v>0</v>
      </c>
      <c r="E97" s="1">
        <f t="shared" si="19"/>
        <v>-4.1558199877217023E-14</v>
      </c>
      <c r="F97" s="1">
        <f t="shared" si="20"/>
        <v>4.1558199877217023E-14</v>
      </c>
      <c r="G97" s="1">
        <f t="shared" si="21"/>
        <v>0</v>
      </c>
      <c r="J97">
        <v>71</v>
      </c>
      <c r="K97" s="1">
        <f t="shared" si="30"/>
        <v>0</v>
      </c>
      <c r="L97" s="1">
        <f t="shared" si="22"/>
        <v>0</v>
      </c>
      <c r="M97" s="1">
        <f t="shared" si="23"/>
        <v>0</v>
      </c>
      <c r="N97" s="1">
        <f t="shared" si="24"/>
        <v>0</v>
      </c>
      <c r="O97" s="1">
        <f t="shared" si="25"/>
        <v>0</v>
      </c>
      <c r="Q97">
        <v>71</v>
      </c>
      <c r="R97" s="1">
        <f t="shared" si="31"/>
        <v>8.0490281106904149E-11</v>
      </c>
      <c r="S97" s="1">
        <f t="shared" si="18"/>
        <v>0</v>
      </c>
      <c r="T97" s="1">
        <f t="shared" si="26"/>
        <v>0</v>
      </c>
      <c r="U97" s="1">
        <f t="shared" si="27"/>
        <v>0</v>
      </c>
      <c r="V97" s="1">
        <f t="shared" si="28"/>
        <v>0</v>
      </c>
    </row>
    <row r="98" spans="2:22" x14ac:dyDescent="0.25">
      <c r="B98">
        <v>72</v>
      </c>
      <c r="C98" s="1">
        <f t="shared" si="29"/>
        <v>6.3541961559101828E-12</v>
      </c>
      <c r="D98" s="1">
        <f t="shared" si="17"/>
        <v>0</v>
      </c>
      <c r="E98" s="1">
        <f t="shared" si="19"/>
        <v>-4.1831791359742032E-14</v>
      </c>
      <c r="F98" s="1">
        <f t="shared" si="20"/>
        <v>4.1831791359742032E-14</v>
      </c>
      <c r="G98" s="1">
        <f t="shared" si="21"/>
        <v>0</v>
      </c>
      <c r="J98">
        <v>72</v>
      </c>
      <c r="K98" s="1">
        <f t="shared" si="30"/>
        <v>0</v>
      </c>
      <c r="L98" s="1">
        <f t="shared" si="22"/>
        <v>0</v>
      </c>
      <c r="M98" s="1">
        <f t="shared" si="23"/>
        <v>0</v>
      </c>
      <c r="N98" s="1">
        <f t="shared" si="24"/>
        <v>0</v>
      </c>
      <c r="O98" s="1">
        <f t="shared" si="25"/>
        <v>0</v>
      </c>
      <c r="Q98">
        <v>72</v>
      </c>
      <c r="R98" s="1">
        <f t="shared" si="31"/>
        <v>8.0490281106904149E-11</v>
      </c>
      <c r="S98" s="1">
        <f t="shared" si="18"/>
        <v>0</v>
      </c>
      <c r="T98" s="1">
        <f t="shared" si="26"/>
        <v>0</v>
      </c>
      <c r="U98" s="1">
        <f t="shared" si="27"/>
        <v>0</v>
      </c>
      <c r="V98" s="1">
        <f t="shared" si="28"/>
        <v>0</v>
      </c>
    </row>
    <row r="99" spans="2:22" x14ac:dyDescent="0.25">
      <c r="B99">
        <v>73</v>
      </c>
      <c r="C99" s="1">
        <f t="shared" si="29"/>
        <v>6.3960279472699249E-12</v>
      </c>
      <c r="D99" s="1">
        <f t="shared" si="17"/>
        <v>0</v>
      </c>
      <c r="E99" s="1">
        <f t="shared" si="19"/>
        <v>-4.2107183986193677E-14</v>
      </c>
      <c r="F99" s="1">
        <f t="shared" si="20"/>
        <v>4.2107183986193677E-14</v>
      </c>
      <c r="G99" s="1">
        <f t="shared" si="21"/>
        <v>0</v>
      </c>
      <c r="J99">
        <v>73</v>
      </c>
      <c r="K99" s="1">
        <f t="shared" si="30"/>
        <v>0</v>
      </c>
      <c r="L99" s="1">
        <f t="shared" si="22"/>
        <v>0</v>
      </c>
      <c r="M99" s="1">
        <f t="shared" si="23"/>
        <v>0</v>
      </c>
      <c r="N99" s="1">
        <f t="shared" si="24"/>
        <v>0</v>
      </c>
      <c r="O99" s="1">
        <f t="shared" si="25"/>
        <v>0</v>
      </c>
      <c r="Q99">
        <v>73</v>
      </c>
      <c r="R99" s="1">
        <f t="shared" si="31"/>
        <v>8.0490281106904149E-11</v>
      </c>
      <c r="S99" s="1">
        <f t="shared" si="18"/>
        <v>0</v>
      </c>
      <c r="T99" s="1">
        <f t="shared" si="26"/>
        <v>0</v>
      </c>
      <c r="U99" s="1">
        <f t="shared" si="27"/>
        <v>0</v>
      </c>
      <c r="V99" s="1">
        <f t="shared" si="28"/>
        <v>0</v>
      </c>
    </row>
    <row r="100" spans="2:22" x14ac:dyDescent="0.25">
      <c r="B100">
        <v>74</v>
      </c>
      <c r="C100" s="1">
        <f t="shared" si="29"/>
        <v>6.4381351312561183E-12</v>
      </c>
      <c r="D100" s="1">
        <f t="shared" si="17"/>
        <v>0</v>
      </c>
      <c r="E100" s="1">
        <f t="shared" si="19"/>
        <v>-4.2384389614102779E-14</v>
      </c>
      <c r="F100" s="1">
        <f t="shared" si="20"/>
        <v>4.2384389614102779E-14</v>
      </c>
      <c r="G100" s="1">
        <f t="shared" si="21"/>
        <v>0</v>
      </c>
      <c r="J100">
        <v>74</v>
      </c>
      <c r="K100" s="1">
        <f t="shared" si="30"/>
        <v>0</v>
      </c>
      <c r="L100" s="1">
        <f t="shared" si="22"/>
        <v>0</v>
      </c>
      <c r="M100" s="1">
        <f t="shared" si="23"/>
        <v>0</v>
      </c>
      <c r="N100" s="1">
        <f t="shared" si="24"/>
        <v>0</v>
      </c>
      <c r="O100" s="1">
        <f t="shared" si="25"/>
        <v>0</v>
      </c>
      <c r="Q100">
        <v>74</v>
      </c>
      <c r="R100" s="1">
        <f t="shared" si="31"/>
        <v>8.0490281106904149E-11</v>
      </c>
      <c r="S100" s="1">
        <f t="shared" si="18"/>
        <v>0</v>
      </c>
      <c r="T100" s="1">
        <f t="shared" si="26"/>
        <v>0</v>
      </c>
      <c r="U100" s="1">
        <f t="shared" si="27"/>
        <v>0</v>
      </c>
      <c r="V100" s="1">
        <f t="shared" si="28"/>
        <v>0</v>
      </c>
    </row>
    <row r="101" spans="2:22" x14ac:dyDescent="0.25">
      <c r="B101">
        <v>75</v>
      </c>
      <c r="C101" s="1">
        <f t="shared" si="29"/>
        <v>6.4805195208702209E-12</v>
      </c>
      <c r="D101" s="1">
        <f t="shared" si="17"/>
        <v>0</v>
      </c>
      <c r="E101" s="1">
        <f t="shared" si="19"/>
        <v>-4.2663420179062288E-14</v>
      </c>
      <c r="F101" s="1">
        <f t="shared" si="20"/>
        <v>4.2663420179062288E-14</v>
      </c>
      <c r="G101" s="1">
        <f t="shared" si="21"/>
        <v>0</v>
      </c>
      <c r="J101">
        <v>75</v>
      </c>
      <c r="K101" s="1">
        <f t="shared" si="30"/>
        <v>0</v>
      </c>
      <c r="L101" s="1">
        <f t="shared" si="22"/>
        <v>0</v>
      </c>
      <c r="M101" s="1">
        <f t="shared" si="23"/>
        <v>0</v>
      </c>
      <c r="N101" s="1">
        <f t="shared" si="24"/>
        <v>0</v>
      </c>
      <c r="O101" s="1">
        <f t="shared" si="25"/>
        <v>0</v>
      </c>
      <c r="Q101">
        <v>75</v>
      </c>
      <c r="R101" s="1">
        <f t="shared" si="31"/>
        <v>8.0490281106904149E-11</v>
      </c>
      <c r="S101" s="1">
        <f t="shared" si="18"/>
        <v>0</v>
      </c>
      <c r="T101" s="1">
        <f t="shared" si="26"/>
        <v>0</v>
      </c>
      <c r="U101" s="1">
        <f t="shared" si="27"/>
        <v>0</v>
      </c>
      <c r="V101" s="1">
        <f t="shared" si="28"/>
        <v>0</v>
      </c>
    </row>
    <row r="102" spans="2:22" x14ac:dyDescent="0.25">
      <c r="B102">
        <v>76</v>
      </c>
      <c r="C102" s="1">
        <f t="shared" si="29"/>
        <v>6.5231829410492831E-12</v>
      </c>
      <c r="D102" s="1">
        <f t="shared" si="17"/>
        <v>0</v>
      </c>
      <c r="E102" s="1">
        <f t="shared" si="19"/>
        <v>-4.2944287695241117E-14</v>
      </c>
      <c r="F102" s="1">
        <f t="shared" si="20"/>
        <v>4.2944287695241117E-14</v>
      </c>
      <c r="G102" s="1">
        <f t="shared" si="21"/>
        <v>0</v>
      </c>
      <c r="J102">
        <v>76</v>
      </c>
      <c r="K102" s="1">
        <f t="shared" si="30"/>
        <v>0</v>
      </c>
      <c r="L102" s="1">
        <f t="shared" si="22"/>
        <v>0</v>
      </c>
      <c r="M102" s="1">
        <f t="shared" si="23"/>
        <v>0</v>
      </c>
      <c r="N102" s="1">
        <f t="shared" si="24"/>
        <v>0</v>
      </c>
      <c r="O102" s="1">
        <f t="shared" si="25"/>
        <v>0</v>
      </c>
      <c r="Q102">
        <v>76</v>
      </c>
      <c r="R102" s="1">
        <f t="shared" si="31"/>
        <v>8.0490281106904149E-11</v>
      </c>
      <c r="S102" s="1">
        <f t="shared" si="18"/>
        <v>0</v>
      </c>
      <c r="T102" s="1">
        <f t="shared" si="26"/>
        <v>0</v>
      </c>
      <c r="U102" s="1">
        <f t="shared" si="27"/>
        <v>0</v>
      </c>
      <c r="V102" s="1">
        <f t="shared" si="28"/>
        <v>0</v>
      </c>
    </row>
    <row r="103" spans="2:22" x14ac:dyDescent="0.25">
      <c r="B103">
        <v>77</v>
      </c>
      <c r="C103" s="1">
        <f t="shared" si="29"/>
        <v>6.5661272287445239E-12</v>
      </c>
      <c r="D103" s="1">
        <f t="shared" si="17"/>
        <v>0</v>
      </c>
      <c r="E103" s="1">
        <f t="shared" si="19"/>
        <v>-4.3227004255901447E-14</v>
      </c>
      <c r="F103" s="1">
        <f t="shared" si="20"/>
        <v>4.3227004255901447E-14</v>
      </c>
      <c r="G103" s="1">
        <f t="shared" si="21"/>
        <v>0</v>
      </c>
      <c r="J103">
        <v>77</v>
      </c>
      <c r="K103" s="1">
        <f t="shared" si="30"/>
        <v>0</v>
      </c>
      <c r="L103" s="1">
        <f t="shared" si="22"/>
        <v>0</v>
      </c>
      <c r="M103" s="1">
        <f t="shared" si="23"/>
        <v>0</v>
      </c>
      <c r="N103" s="1">
        <f t="shared" si="24"/>
        <v>0</v>
      </c>
      <c r="O103" s="1">
        <f t="shared" si="25"/>
        <v>0</v>
      </c>
      <c r="Q103">
        <v>77</v>
      </c>
      <c r="R103" s="1">
        <f t="shared" si="31"/>
        <v>8.0490281106904149E-11</v>
      </c>
      <c r="S103" s="1">
        <f t="shared" si="18"/>
        <v>0</v>
      </c>
      <c r="T103" s="1">
        <f t="shared" si="26"/>
        <v>0</v>
      </c>
      <c r="U103" s="1">
        <f t="shared" si="27"/>
        <v>0</v>
      </c>
      <c r="V103" s="1">
        <f t="shared" si="28"/>
        <v>0</v>
      </c>
    </row>
    <row r="104" spans="2:22" x14ac:dyDescent="0.25">
      <c r="B104">
        <v>78</v>
      </c>
      <c r="C104" s="1">
        <f t="shared" si="29"/>
        <v>6.6093542330004254E-12</v>
      </c>
      <c r="D104" s="1">
        <f t="shared" si="17"/>
        <v>0</v>
      </c>
      <c r="E104" s="1">
        <f t="shared" si="19"/>
        <v>-4.3511582033919468E-14</v>
      </c>
      <c r="F104" s="1">
        <f t="shared" si="20"/>
        <v>4.3511582033919468E-14</v>
      </c>
      <c r="G104" s="1">
        <f t="shared" si="21"/>
        <v>0</v>
      </c>
      <c r="J104">
        <v>78</v>
      </c>
      <c r="K104" s="1">
        <f t="shared" si="30"/>
        <v>0</v>
      </c>
      <c r="L104" s="1">
        <f t="shared" si="22"/>
        <v>0</v>
      </c>
      <c r="M104" s="1">
        <f t="shared" si="23"/>
        <v>0</v>
      </c>
      <c r="N104" s="1">
        <f t="shared" si="24"/>
        <v>0</v>
      </c>
      <c r="O104" s="1">
        <f t="shared" si="25"/>
        <v>0</v>
      </c>
      <c r="Q104">
        <v>78</v>
      </c>
      <c r="R104" s="1">
        <f t="shared" si="31"/>
        <v>8.0490281106904149E-11</v>
      </c>
      <c r="S104" s="1">
        <f t="shared" si="18"/>
        <v>0</v>
      </c>
      <c r="T104" s="1">
        <f t="shared" si="26"/>
        <v>0</v>
      </c>
      <c r="U104" s="1">
        <f t="shared" si="27"/>
        <v>0</v>
      </c>
      <c r="V104" s="1">
        <f t="shared" si="28"/>
        <v>0</v>
      </c>
    </row>
    <row r="105" spans="2:22" x14ac:dyDescent="0.25">
      <c r="B105">
        <v>79</v>
      </c>
      <c r="C105" s="1">
        <f t="shared" si="29"/>
        <v>6.6528658150343446E-12</v>
      </c>
      <c r="D105" s="1">
        <f t="shared" si="17"/>
        <v>0</v>
      </c>
      <c r="E105" s="1">
        <f t="shared" si="19"/>
        <v>-4.3798033282309432E-14</v>
      </c>
      <c r="F105" s="1">
        <f t="shared" si="20"/>
        <v>4.3798033282309432E-14</v>
      </c>
      <c r="G105" s="1">
        <f t="shared" si="21"/>
        <v>0</v>
      </c>
      <c r="J105">
        <v>79</v>
      </c>
      <c r="K105" s="1">
        <f t="shared" si="30"/>
        <v>0</v>
      </c>
      <c r="L105" s="1">
        <f t="shared" si="22"/>
        <v>0</v>
      </c>
      <c r="M105" s="1">
        <f t="shared" si="23"/>
        <v>0</v>
      </c>
      <c r="N105" s="1">
        <f t="shared" si="24"/>
        <v>0</v>
      </c>
      <c r="O105" s="1">
        <f t="shared" si="25"/>
        <v>0</v>
      </c>
      <c r="Q105">
        <v>79</v>
      </c>
      <c r="R105" s="1">
        <f t="shared" si="31"/>
        <v>8.0490281106904149E-11</v>
      </c>
      <c r="S105" s="1">
        <f t="shared" si="18"/>
        <v>0</v>
      </c>
      <c r="T105" s="1">
        <f t="shared" si="26"/>
        <v>0</v>
      </c>
      <c r="U105" s="1">
        <f t="shared" si="27"/>
        <v>0</v>
      </c>
      <c r="V105" s="1">
        <f t="shared" si="28"/>
        <v>0</v>
      </c>
    </row>
    <row r="106" spans="2:22" x14ac:dyDescent="0.25">
      <c r="B106">
        <v>80</v>
      </c>
      <c r="C106" s="1">
        <f t="shared" si="29"/>
        <v>6.6966638483166544E-12</v>
      </c>
      <c r="D106" s="1">
        <f t="shared" si="17"/>
        <v>0</v>
      </c>
      <c r="E106" s="1">
        <f t="shared" si="19"/>
        <v>-4.4086370334751303E-14</v>
      </c>
      <c r="F106" s="1">
        <f t="shared" si="20"/>
        <v>4.4086370334751303E-14</v>
      </c>
      <c r="G106" s="1">
        <f t="shared" si="21"/>
        <v>0</v>
      </c>
      <c r="J106">
        <v>80</v>
      </c>
      <c r="K106" s="1">
        <f t="shared" si="30"/>
        <v>0</v>
      </c>
      <c r="L106" s="1">
        <f t="shared" si="22"/>
        <v>0</v>
      </c>
      <c r="M106" s="1">
        <f t="shared" si="23"/>
        <v>0</v>
      </c>
      <c r="N106" s="1">
        <f t="shared" si="24"/>
        <v>0</v>
      </c>
      <c r="O106" s="1">
        <f t="shared" si="25"/>
        <v>0</v>
      </c>
      <c r="Q106">
        <v>80</v>
      </c>
      <c r="R106" s="1">
        <f t="shared" si="31"/>
        <v>8.0490281106904149E-11</v>
      </c>
      <c r="S106" s="1">
        <f t="shared" si="18"/>
        <v>0</v>
      </c>
      <c r="T106" s="1">
        <f t="shared" si="26"/>
        <v>0</v>
      </c>
      <c r="U106" s="1">
        <f t="shared" si="27"/>
        <v>0</v>
      </c>
      <c r="V106" s="1">
        <f t="shared" si="28"/>
        <v>0</v>
      </c>
    </row>
    <row r="107" spans="2:22" x14ac:dyDescent="0.25">
      <c r="B107">
        <v>81</v>
      </c>
      <c r="C107" s="1">
        <f t="shared" si="29"/>
        <v>6.7407502186514058E-12</v>
      </c>
      <c r="D107" s="1">
        <f t="shared" si="17"/>
        <v>0</v>
      </c>
      <c r="E107" s="1">
        <f t="shared" si="19"/>
        <v>-4.4376605606121751E-14</v>
      </c>
      <c r="F107" s="1">
        <f t="shared" si="20"/>
        <v>4.4376605606121751E-14</v>
      </c>
      <c r="G107" s="1">
        <f t="shared" si="21"/>
        <v>0</v>
      </c>
      <c r="J107">
        <v>81</v>
      </c>
      <c r="K107" s="1">
        <f t="shared" si="30"/>
        <v>0</v>
      </c>
      <c r="L107" s="1">
        <f t="shared" si="22"/>
        <v>0</v>
      </c>
      <c r="M107" s="1">
        <f t="shared" si="23"/>
        <v>0</v>
      </c>
      <c r="N107" s="1">
        <f t="shared" si="24"/>
        <v>0</v>
      </c>
      <c r="O107" s="1">
        <f t="shared" si="25"/>
        <v>0</v>
      </c>
      <c r="Q107">
        <v>81</v>
      </c>
      <c r="R107" s="1">
        <f t="shared" si="31"/>
        <v>8.0490281106904149E-11</v>
      </c>
      <c r="S107" s="1">
        <f t="shared" si="18"/>
        <v>0</v>
      </c>
      <c r="T107" s="1">
        <f t="shared" si="26"/>
        <v>0</v>
      </c>
      <c r="U107" s="1">
        <f t="shared" si="27"/>
        <v>0</v>
      </c>
      <c r="V107" s="1">
        <f t="shared" si="28"/>
        <v>0</v>
      </c>
    </row>
    <row r="108" spans="2:22" x14ac:dyDescent="0.25">
      <c r="B108">
        <v>82</v>
      </c>
      <c r="C108" s="1">
        <f t="shared" si="29"/>
        <v>6.7851268242575274E-12</v>
      </c>
      <c r="D108" s="1">
        <f t="shared" si="17"/>
        <v>0</v>
      </c>
      <c r="E108" s="1">
        <f t="shared" si="19"/>
        <v>-4.4668751593028721E-14</v>
      </c>
      <c r="F108" s="1">
        <f t="shared" si="20"/>
        <v>4.4668751593028721E-14</v>
      </c>
      <c r="G108" s="1">
        <f t="shared" si="21"/>
        <v>0</v>
      </c>
      <c r="J108">
        <v>82</v>
      </c>
      <c r="K108" s="1">
        <f t="shared" si="30"/>
        <v>0</v>
      </c>
      <c r="L108" s="1">
        <f t="shared" si="22"/>
        <v>0</v>
      </c>
      <c r="M108" s="1">
        <f t="shared" si="23"/>
        <v>0</v>
      </c>
      <c r="N108" s="1">
        <f t="shared" si="24"/>
        <v>0</v>
      </c>
      <c r="O108" s="1">
        <f t="shared" si="25"/>
        <v>0</v>
      </c>
      <c r="Q108">
        <v>82</v>
      </c>
      <c r="R108" s="1">
        <f t="shared" si="31"/>
        <v>8.0490281106904149E-11</v>
      </c>
      <c r="S108" s="1">
        <f t="shared" si="18"/>
        <v>0</v>
      </c>
      <c r="T108" s="1">
        <f t="shared" si="26"/>
        <v>0</v>
      </c>
      <c r="U108" s="1">
        <f t="shared" si="27"/>
        <v>0</v>
      </c>
      <c r="V108" s="1">
        <f t="shared" si="28"/>
        <v>0</v>
      </c>
    </row>
    <row r="109" spans="2:22" x14ac:dyDescent="0.25">
      <c r="B109">
        <v>83</v>
      </c>
      <c r="C109" s="1">
        <f t="shared" si="29"/>
        <v>6.8297955758505562E-12</v>
      </c>
      <c r="D109" s="1">
        <f t="shared" si="17"/>
        <v>0</v>
      </c>
      <c r="E109" s="1">
        <f t="shared" si="19"/>
        <v>-4.4962820874349492E-14</v>
      </c>
      <c r="F109" s="1">
        <f t="shared" si="20"/>
        <v>4.4962820874349492E-14</v>
      </c>
      <c r="G109" s="1">
        <f t="shared" si="21"/>
        <v>0</v>
      </c>
      <c r="J109">
        <v>83</v>
      </c>
      <c r="K109" s="1">
        <f t="shared" si="30"/>
        <v>0</v>
      </c>
      <c r="L109" s="1">
        <f t="shared" si="22"/>
        <v>0</v>
      </c>
      <c r="M109" s="1">
        <f t="shared" si="23"/>
        <v>0</v>
      </c>
      <c r="N109" s="1">
        <f t="shared" si="24"/>
        <v>0</v>
      </c>
      <c r="O109" s="1">
        <f t="shared" si="25"/>
        <v>0</v>
      </c>
      <c r="Q109">
        <v>83</v>
      </c>
      <c r="R109" s="1">
        <f t="shared" si="31"/>
        <v>8.0490281106904149E-11</v>
      </c>
      <c r="S109" s="1">
        <f t="shared" si="18"/>
        <v>0</v>
      </c>
      <c r="T109" s="1">
        <f t="shared" si="26"/>
        <v>0</v>
      </c>
      <c r="U109" s="1">
        <f t="shared" si="27"/>
        <v>0</v>
      </c>
      <c r="V109" s="1">
        <f t="shared" si="28"/>
        <v>0</v>
      </c>
    </row>
    <row r="110" spans="2:22" x14ac:dyDescent="0.25">
      <c r="B110">
        <v>84</v>
      </c>
      <c r="C110" s="1">
        <f t="shared" si="29"/>
        <v>6.874758396724906E-12</v>
      </c>
      <c r="D110" s="1">
        <f t="shared" si="17"/>
        <v>0</v>
      </c>
      <c r="E110" s="1">
        <f t="shared" si="19"/>
        <v>-4.5258826111772298E-14</v>
      </c>
      <c r="F110" s="1">
        <f t="shared" si="20"/>
        <v>4.5258826111772298E-14</v>
      </c>
      <c r="G110" s="1">
        <f t="shared" si="21"/>
        <v>0</v>
      </c>
      <c r="J110">
        <v>84</v>
      </c>
      <c r="K110" s="1">
        <f t="shared" si="30"/>
        <v>0</v>
      </c>
      <c r="L110" s="1">
        <f t="shared" si="22"/>
        <v>0</v>
      </c>
      <c r="M110" s="1">
        <f t="shared" si="23"/>
        <v>0</v>
      </c>
      <c r="N110" s="1">
        <f t="shared" si="24"/>
        <v>0</v>
      </c>
      <c r="O110" s="1">
        <f t="shared" si="25"/>
        <v>0</v>
      </c>
      <c r="Q110">
        <v>84</v>
      </c>
      <c r="R110" s="1">
        <f t="shared" si="31"/>
        <v>8.0490281106904149E-11</v>
      </c>
      <c r="S110" s="1">
        <f t="shared" si="18"/>
        <v>0</v>
      </c>
      <c r="T110" s="1">
        <f t="shared" si="26"/>
        <v>0</v>
      </c>
      <c r="U110" s="1">
        <f t="shared" si="27"/>
        <v>0</v>
      </c>
      <c r="V110" s="1">
        <f t="shared" si="28"/>
        <v>0</v>
      </c>
    </row>
    <row r="111" spans="2:22" x14ac:dyDescent="0.25">
      <c r="B111">
        <v>85</v>
      </c>
      <c r="C111" s="1">
        <f t="shared" si="29"/>
        <v>6.9200172228366786E-12</v>
      </c>
      <c r="D111" s="1">
        <f t="shared" si="17"/>
        <v>0</v>
      </c>
      <c r="E111" s="1">
        <f t="shared" si="19"/>
        <v>-4.5556780050341471E-14</v>
      </c>
      <c r="F111" s="1">
        <f t="shared" si="20"/>
        <v>4.5556780050341471E-14</v>
      </c>
      <c r="G111" s="1">
        <f t="shared" si="21"/>
        <v>0</v>
      </c>
      <c r="J111">
        <v>85</v>
      </c>
      <c r="K111" s="1">
        <f t="shared" si="30"/>
        <v>0</v>
      </c>
      <c r="L111" s="1">
        <f t="shared" si="22"/>
        <v>0</v>
      </c>
      <c r="M111" s="1">
        <f t="shared" si="23"/>
        <v>0</v>
      </c>
      <c r="N111" s="1">
        <f t="shared" si="24"/>
        <v>0</v>
      </c>
      <c r="O111" s="1">
        <f t="shared" si="25"/>
        <v>0</v>
      </c>
      <c r="Q111">
        <v>85</v>
      </c>
      <c r="R111" s="1">
        <f t="shared" si="31"/>
        <v>8.0490281106904149E-11</v>
      </c>
      <c r="S111" s="1">
        <f t="shared" si="18"/>
        <v>0</v>
      </c>
      <c r="T111" s="1">
        <f t="shared" si="26"/>
        <v>0</v>
      </c>
      <c r="U111" s="1">
        <f t="shared" si="27"/>
        <v>0</v>
      </c>
      <c r="V111" s="1">
        <f t="shared" si="28"/>
        <v>0</v>
      </c>
    </row>
    <row r="112" spans="2:22" x14ac:dyDescent="0.25">
      <c r="B112">
        <v>86</v>
      </c>
      <c r="C112" s="1">
        <f t="shared" si="29"/>
        <v>6.9655740028870199E-12</v>
      </c>
      <c r="D112" s="1">
        <f t="shared" si="17"/>
        <v>0</v>
      </c>
      <c r="E112" s="1">
        <f t="shared" si="19"/>
        <v>-4.5856695519006213E-14</v>
      </c>
      <c r="F112" s="1">
        <f t="shared" si="20"/>
        <v>4.5856695519006213E-14</v>
      </c>
      <c r="G112" s="1">
        <f t="shared" si="21"/>
        <v>0</v>
      </c>
      <c r="J112">
        <v>86</v>
      </c>
      <c r="K112" s="1">
        <f t="shared" si="30"/>
        <v>0</v>
      </c>
      <c r="L112" s="1">
        <f t="shared" si="22"/>
        <v>0</v>
      </c>
      <c r="M112" s="1">
        <f t="shared" si="23"/>
        <v>0</v>
      </c>
      <c r="N112" s="1">
        <f t="shared" si="24"/>
        <v>0</v>
      </c>
      <c r="O112" s="1">
        <f t="shared" si="25"/>
        <v>0</v>
      </c>
      <c r="Q112">
        <v>86</v>
      </c>
      <c r="R112" s="1">
        <f t="shared" si="31"/>
        <v>8.0490281106904149E-11</v>
      </c>
      <c r="S112" s="1">
        <f t="shared" si="18"/>
        <v>0</v>
      </c>
      <c r="T112" s="1">
        <f t="shared" si="26"/>
        <v>0</v>
      </c>
      <c r="U112" s="1">
        <f t="shared" si="27"/>
        <v>0</v>
      </c>
      <c r="V112" s="1">
        <f t="shared" si="28"/>
        <v>0</v>
      </c>
    </row>
    <row r="113" spans="2:22" x14ac:dyDescent="0.25">
      <c r="B113">
        <v>87</v>
      </c>
      <c r="C113" s="1">
        <f t="shared" si="29"/>
        <v>7.0114306984060259E-12</v>
      </c>
      <c r="D113" s="1">
        <f t="shared" si="17"/>
        <v>0</v>
      </c>
      <c r="E113" s="1">
        <f t="shared" si="19"/>
        <v>-4.6158585431173011E-14</v>
      </c>
      <c r="F113" s="1">
        <f t="shared" si="20"/>
        <v>4.6158585431173011E-14</v>
      </c>
      <c r="G113" s="1">
        <f t="shared" si="21"/>
        <v>0</v>
      </c>
      <c r="J113">
        <v>87</v>
      </c>
      <c r="K113" s="1">
        <f t="shared" si="30"/>
        <v>0</v>
      </c>
      <c r="L113" s="1">
        <f t="shared" si="22"/>
        <v>0</v>
      </c>
      <c r="M113" s="1">
        <f t="shared" si="23"/>
        <v>0</v>
      </c>
      <c r="N113" s="1">
        <f t="shared" si="24"/>
        <v>0</v>
      </c>
      <c r="O113" s="1">
        <f t="shared" si="25"/>
        <v>0</v>
      </c>
      <c r="Q113">
        <v>87</v>
      </c>
      <c r="R113" s="1">
        <f t="shared" si="31"/>
        <v>8.0490281106904149E-11</v>
      </c>
      <c r="S113" s="1">
        <f t="shared" si="18"/>
        <v>0</v>
      </c>
      <c r="T113" s="1">
        <f t="shared" si="26"/>
        <v>0</v>
      </c>
      <c r="U113" s="1">
        <f t="shared" si="27"/>
        <v>0</v>
      </c>
      <c r="V113" s="1">
        <f t="shared" si="28"/>
        <v>0</v>
      </c>
    </row>
    <row r="114" spans="2:22" x14ac:dyDescent="0.25">
      <c r="B114">
        <v>88</v>
      </c>
      <c r="C114" s="1">
        <f t="shared" si="29"/>
        <v>7.057589283837199E-12</v>
      </c>
      <c r="D114" s="1">
        <f t="shared" si="17"/>
        <v>0</v>
      </c>
      <c r="E114" s="1">
        <f t="shared" si="19"/>
        <v>-4.6462462785261563E-14</v>
      </c>
      <c r="F114" s="1">
        <f t="shared" si="20"/>
        <v>4.6462462785261563E-14</v>
      </c>
      <c r="G114" s="1">
        <f t="shared" si="21"/>
        <v>0</v>
      </c>
      <c r="J114">
        <v>88</v>
      </c>
      <c r="K114" s="1">
        <f t="shared" si="30"/>
        <v>0</v>
      </c>
      <c r="L114" s="1">
        <f t="shared" si="22"/>
        <v>0</v>
      </c>
      <c r="M114" s="1">
        <f t="shared" si="23"/>
        <v>0</v>
      </c>
      <c r="N114" s="1">
        <f t="shared" si="24"/>
        <v>0</v>
      </c>
      <c r="O114" s="1">
        <f t="shared" si="25"/>
        <v>0</v>
      </c>
      <c r="Q114">
        <v>88</v>
      </c>
      <c r="R114" s="1">
        <f t="shared" si="31"/>
        <v>8.0490281106904149E-11</v>
      </c>
      <c r="S114" s="1">
        <f t="shared" si="18"/>
        <v>0</v>
      </c>
      <c r="T114" s="1">
        <f t="shared" si="26"/>
        <v>0</v>
      </c>
      <c r="U114" s="1">
        <f t="shared" si="27"/>
        <v>0</v>
      </c>
      <c r="V114" s="1">
        <f t="shared" si="28"/>
        <v>0</v>
      </c>
    </row>
    <row r="115" spans="2:22" x14ac:dyDescent="0.25">
      <c r="B115">
        <v>89</v>
      </c>
      <c r="C115" s="1">
        <f t="shared" si="29"/>
        <v>7.1040517466224604E-12</v>
      </c>
      <c r="D115" s="1">
        <f t="shared" si="17"/>
        <v>0</v>
      </c>
      <c r="E115" s="1">
        <f t="shared" si="19"/>
        <v>-4.6768340665264534E-14</v>
      </c>
      <c r="F115" s="1">
        <f t="shared" si="20"/>
        <v>4.6768340665264534E-14</v>
      </c>
      <c r="G115" s="1">
        <f t="shared" si="21"/>
        <v>0</v>
      </c>
      <c r="J115">
        <v>89</v>
      </c>
      <c r="K115" s="1">
        <f t="shared" si="30"/>
        <v>0</v>
      </c>
      <c r="L115" s="1">
        <f t="shared" si="22"/>
        <v>0</v>
      </c>
      <c r="M115" s="1">
        <f t="shared" si="23"/>
        <v>0</v>
      </c>
      <c r="N115" s="1">
        <f t="shared" si="24"/>
        <v>0</v>
      </c>
      <c r="O115" s="1">
        <f t="shared" si="25"/>
        <v>0</v>
      </c>
      <c r="Q115">
        <v>89</v>
      </c>
      <c r="R115" s="1">
        <f t="shared" si="31"/>
        <v>8.0490281106904149E-11</v>
      </c>
      <c r="S115" s="1">
        <f t="shared" si="18"/>
        <v>0</v>
      </c>
      <c r="T115" s="1">
        <f t="shared" si="26"/>
        <v>0</v>
      </c>
      <c r="U115" s="1">
        <f t="shared" si="27"/>
        <v>0</v>
      </c>
      <c r="V115" s="1">
        <f t="shared" si="28"/>
        <v>0</v>
      </c>
    </row>
    <row r="116" spans="2:22" x14ac:dyDescent="0.25">
      <c r="B116">
        <v>90</v>
      </c>
      <c r="C116" s="1">
        <f t="shared" si="29"/>
        <v>7.1508200872877252E-12</v>
      </c>
      <c r="D116" s="1">
        <f t="shared" si="17"/>
        <v>0</v>
      </c>
      <c r="E116" s="1">
        <f t="shared" si="19"/>
        <v>-4.7076232241310863E-14</v>
      </c>
      <c r="F116" s="1">
        <f t="shared" si="20"/>
        <v>4.7076232241310863E-14</v>
      </c>
      <c r="G116" s="1">
        <f t="shared" si="21"/>
        <v>0</v>
      </c>
      <c r="J116">
        <v>90</v>
      </c>
      <c r="K116" s="1">
        <f t="shared" si="30"/>
        <v>0</v>
      </c>
      <c r="L116" s="1">
        <f t="shared" si="22"/>
        <v>0</v>
      </c>
      <c r="M116" s="1">
        <f t="shared" si="23"/>
        <v>0</v>
      </c>
      <c r="N116" s="1">
        <f t="shared" si="24"/>
        <v>0</v>
      </c>
      <c r="O116" s="1">
        <f t="shared" si="25"/>
        <v>0</v>
      </c>
      <c r="Q116">
        <v>90</v>
      </c>
      <c r="R116" s="1">
        <f t="shared" si="31"/>
        <v>8.0490281106904149E-11</v>
      </c>
      <c r="S116" s="1">
        <f t="shared" si="18"/>
        <v>0</v>
      </c>
      <c r="T116" s="1">
        <f t="shared" si="26"/>
        <v>0</v>
      </c>
      <c r="U116" s="1">
        <f t="shared" si="27"/>
        <v>0</v>
      </c>
      <c r="V116" s="1">
        <f t="shared" si="28"/>
        <v>0</v>
      </c>
    </row>
    <row r="117" spans="2:22" x14ac:dyDescent="0.25">
      <c r="B117">
        <v>91</v>
      </c>
      <c r="C117" s="1">
        <f t="shared" si="29"/>
        <v>7.1978963195290361E-12</v>
      </c>
      <c r="D117" s="1">
        <f t="shared" si="17"/>
        <v>0</v>
      </c>
      <c r="E117" s="1">
        <f t="shared" si="19"/>
        <v>-4.7386150770232819E-14</v>
      </c>
      <c r="F117" s="1">
        <f t="shared" si="20"/>
        <v>4.7386150770232819E-14</v>
      </c>
      <c r="G117" s="1">
        <f t="shared" si="21"/>
        <v>0</v>
      </c>
      <c r="J117">
        <v>91</v>
      </c>
      <c r="K117" s="1">
        <f t="shared" si="30"/>
        <v>0</v>
      </c>
      <c r="L117" s="1">
        <f t="shared" si="22"/>
        <v>0</v>
      </c>
      <c r="M117" s="1">
        <f t="shared" si="23"/>
        <v>0</v>
      </c>
      <c r="N117" s="1">
        <f t="shared" si="24"/>
        <v>0</v>
      </c>
      <c r="O117" s="1">
        <f t="shared" si="25"/>
        <v>0</v>
      </c>
      <c r="Q117">
        <v>91</v>
      </c>
      <c r="R117" s="1">
        <f t="shared" si="31"/>
        <v>8.0490281106904149E-11</v>
      </c>
      <c r="S117" s="1">
        <f t="shared" si="18"/>
        <v>0</v>
      </c>
      <c r="T117" s="1">
        <f t="shared" si="26"/>
        <v>0</v>
      </c>
      <c r="U117" s="1">
        <f t="shared" si="27"/>
        <v>0</v>
      </c>
      <c r="V117" s="1">
        <f t="shared" si="28"/>
        <v>0</v>
      </c>
    </row>
    <row r="118" spans="2:22" x14ac:dyDescent="0.25">
      <c r="B118">
        <v>92</v>
      </c>
      <c r="C118" s="1">
        <f t="shared" si="29"/>
        <v>7.2452824702992689E-12</v>
      </c>
      <c r="D118" s="1">
        <f t="shared" si="17"/>
        <v>0</v>
      </c>
      <c r="E118" s="1">
        <f t="shared" si="19"/>
        <v>-4.7698109596136854E-14</v>
      </c>
      <c r="F118" s="1">
        <f t="shared" si="20"/>
        <v>4.7698109596136854E-14</v>
      </c>
      <c r="G118" s="1">
        <f t="shared" si="21"/>
        <v>0</v>
      </c>
      <c r="J118">
        <v>92</v>
      </c>
      <c r="K118" s="1">
        <f t="shared" si="30"/>
        <v>0</v>
      </c>
      <c r="L118" s="1">
        <f t="shared" si="22"/>
        <v>0</v>
      </c>
      <c r="M118" s="1">
        <f t="shared" si="23"/>
        <v>0</v>
      </c>
      <c r="N118" s="1">
        <f t="shared" si="24"/>
        <v>0</v>
      </c>
      <c r="O118" s="1">
        <f t="shared" si="25"/>
        <v>0</v>
      </c>
      <c r="Q118">
        <v>92</v>
      </c>
      <c r="R118" s="1">
        <f t="shared" si="31"/>
        <v>8.0490281106904149E-11</v>
      </c>
      <c r="S118" s="1">
        <f t="shared" si="18"/>
        <v>0</v>
      </c>
      <c r="T118" s="1">
        <f t="shared" si="26"/>
        <v>0</v>
      </c>
      <c r="U118" s="1">
        <f t="shared" si="27"/>
        <v>0</v>
      </c>
      <c r="V118" s="1">
        <f t="shared" si="28"/>
        <v>0</v>
      </c>
    </row>
    <row r="119" spans="2:22" x14ac:dyDescent="0.25">
      <c r="B119">
        <v>93</v>
      </c>
      <c r="C119" s="1">
        <f t="shared" si="29"/>
        <v>7.2929805798954057E-12</v>
      </c>
      <c r="D119" s="1">
        <f t="shared" si="17"/>
        <v>0</v>
      </c>
      <c r="E119" s="1">
        <f t="shared" si="19"/>
        <v>-4.8012122150978087E-14</v>
      </c>
      <c r="F119" s="1">
        <f t="shared" si="20"/>
        <v>4.8012122150978087E-14</v>
      </c>
      <c r="G119" s="1">
        <f t="shared" si="21"/>
        <v>0</v>
      </c>
      <c r="J119">
        <v>93</v>
      </c>
      <c r="K119" s="1">
        <f t="shared" si="30"/>
        <v>0</v>
      </c>
      <c r="L119" s="1">
        <f t="shared" si="22"/>
        <v>0</v>
      </c>
      <c r="M119" s="1">
        <f t="shared" si="23"/>
        <v>0</v>
      </c>
      <c r="N119" s="1">
        <f t="shared" si="24"/>
        <v>0</v>
      </c>
      <c r="O119" s="1">
        <f t="shared" si="25"/>
        <v>0</v>
      </c>
      <c r="Q119">
        <v>93</v>
      </c>
      <c r="R119" s="1">
        <f t="shared" si="31"/>
        <v>8.0490281106904149E-11</v>
      </c>
      <c r="S119" s="1">
        <f t="shared" si="18"/>
        <v>0</v>
      </c>
      <c r="T119" s="1">
        <f t="shared" si="26"/>
        <v>0</v>
      </c>
      <c r="U119" s="1">
        <f t="shared" si="27"/>
        <v>0</v>
      </c>
      <c r="V119" s="1">
        <f t="shared" si="28"/>
        <v>0</v>
      </c>
    </row>
    <row r="120" spans="2:22" x14ac:dyDescent="0.25">
      <c r="B120">
        <v>94</v>
      </c>
      <c r="C120" s="1">
        <f t="shared" si="29"/>
        <v>7.3409927020463836E-12</v>
      </c>
      <c r="D120" s="1">
        <f t="shared" si="17"/>
        <v>0</v>
      </c>
      <c r="E120" s="1">
        <f t="shared" si="19"/>
        <v>-4.8328201955138695E-14</v>
      </c>
      <c r="F120" s="1">
        <f t="shared" si="20"/>
        <v>4.8328201955138695E-14</v>
      </c>
      <c r="G120" s="1">
        <f t="shared" si="21"/>
        <v>0</v>
      </c>
      <c r="J120">
        <v>94</v>
      </c>
      <c r="K120" s="1">
        <f t="shared" si="30"/>
        <v>0</v>
      </c>
      <c r="L120" s="1">
        <f t="shared" si="22"/>
        <v>0</v>
      </c>
      <c r="M120" s="1">
        <f t="shared" si="23"/>
        <v>0</v>
      </c>
      <c r="N120" s="1">
        <f t="shared" si="24"/>
        <v>0</v>
      </c>
      <c r="O120" s="1">
        <f t="shared" si="25"/>
        <v>0</v>
      </c>
      <c r="Q120">
        <v>94</v>
      </c>
      <c r="R120" s="1">
        <f t="shared" si="31"/>
        <v>8.0490281106904149E-11</v>
      </c>
      <c r="S120" s="1">
        <f t="shared" si="18"/>
        <v>0</v>
      </c>
      <c r="T120" s="1">
        <f t="shared" si="26"/>
        <v>0</v>
      </c>
      <c r="U120" s="1">
        <f t="shared" si="27"/>
        <v>0</v>
      </c>
      <c r="V120" s="1">
        <f t="shared" si="28"/>
        <v>0</v>
      </c>
    </row>
    <row r="121" spans="2:22" x14ac:dyDescent="0.25">
      <c r="B121">
        <v>95</v>
      </c>
      <c r="C121" s="1">
        <f t="shared" si="29"/>
        <v>7.3893209040015221E-12</v>
      </c>
      <c r="D121" s="1">
        <f t="shared" si="17"/>
        <v>0</v>
      </c>
      <c r="E121" s="1">
        <f t="shared" si="19"/>
        <v>-4.8646362618010021E-14</v>
      </c>
      <c r="F121" s="1">
        <f t="shared" si="20"/>
        <v>4.8646362618010021E-14</v>
      </c>
      <c r="G121" s="1">
        <f t="shared" si="21"/>
        <v>0</v>
      </c>
      <c r="J121">
        <v>95</v>
      </c>
      <c r="K121" s="1">
        <f t="shared" si="30"/>
        <v>0</v>
      </c>
      <c r="L121" s="1">
        <f t="shared" si="22"/>
        <v>0</v>
      </c>
      <c r="M121" s="1">
        <f t="shared" si="23"/>
        <v>0</v>
      </c>
      <c r="N121" s="1">
        <f t="shared" si="24"/>
        <v>0</v>
      </c>
      <c r="O121" s="1">
        <f t="shared" si="25"/>
        <v>0</v>
      </c>
      <c r="Q121">
        <v>95</v>
      </c>
      <c r="R121" s="1">
        <f t="shared" si="31"/>
        <v>8.0490281106904149E-11</v>
      </c>
      <c r="S121" s="1">
        <f t="shared" si="18"/>
        <v>0</v>
      </c>
      <c r="T121" s="1">
        <f t="shared" si="26"/>
        <v>0</v>
      </c>
      <c r="U121" s="1">
        <f t="shared" si="27"/>
        <v>0</v>
      </c>
      <c r="V121" s="1">
        <f t="shared" si="28"/>
        <v>0</v>
      </c>
    </row>
    <row r="122" spans="2:22" x14ac:dyDescent="0.25">
      <c r="B122">
        <v>96</v>
      </c>
      <c r="C122" s="1">
        <f t="shared" si="29"/>
        <v>7.437967266619532E-12</v>
      </c>
      <c r="D122" s="1">
        <f t="shared" si="17"/>
        <v>0</v>
      </c>
      <c r="E122" s="1">
        <f t="shared" si="19"/>
        <v>-4.8966617838578588E-14</v>
      </c>
      <c r="F122" s="1">
        <f t="shared" si="20"/>
        <v>4.8966617838578588E-14</v>
      </c>
      <c r="G122" s="1">
        <f t="shared" si="21"/>
        <v>0</v>
      </c>
      <c r="J122">
        <v>96</v>
      </c>
      <c r="K122" s="1">
        <f t="shared" si="30"/>
        <v>0</v>
      </c>
      <c r="L122" s="1">
        <f t="shared" si="22"/>
        <v>0</v>
      </c>
      <c r="M122" s="1">
        <f t="shared" si="23"/>
        <v>0</v>
      </c>
      <c r="N122" s="1">
        <f t="shared" si="24"/>
        <v>0</v>
      </c>
      <c r="O122" s="1">
        <f t="shared" si="25"/>
        <v>0</v>
      </c>
      <c r="Q122">
        <v>96</v>
      </c>
      <c r="R122" s="1">
        <f t="shared" si="31"/>
        <v>8.0490281106904149E-11</v>
      </c>
      <c r="S122" s="1">
        <f t="shared" si="18"/>
        <v>0</v>
      </c>
      <c r="T122" s="1">
        <f t="shared" si="26"/>
        <v>0</v>
      </c>
      <c r="U122" s="1">
        <f t="shared" si="27"/>
        <v>0</v>
      </c>
      <c r="V122" s="1">
        <f t="shared" si="28"/>
        <v>0</v>
      </c>
    </row>
    <row r="123" spans="2:22" x14ac:dyDescent="0.25">
      <c r="B123">
        <v>97</v>
      </c>
      <c r="C123" s="1">
        <f t="shared" si="29"/>
        <v>7.4869338844581105E-12</v>
      </c>
      <c r="D123" s="1">
        <f t="shared" ref="D123:D146" si="32">IF($B123&lt;=$D$17,$D$18,0)</f>
        <v>0</v>
      </c>
      <c r="E123" s="1">
        <f t="shared" si="19"/>
        <v>-4.9288981406015895E-14</v>
      </c>
      <c r="F123" s="1">
        <f t="shared" si="20"/>
        <v>4.9288981406015895E-14</v>
      </c>
      <c r="G123" s="1">
        <f t="shared" si="21"/>
        <v>0</v>
      </c>
      <c r="J123">
        <v>97</v>
      </c>
      <c r="K123" s="1">
        <f t="shared" si="30"/>
        <v>0</v>
      </c>
      <c r="L123" s="1">
        <f t="shared" si="22"/>
        <v>0</v>
      </c>
      <c r="M123" s="1">
        <f t="shared" si="23"/>
        <v>0</v>
      </c>
      <c r="N123" s="1">
        <f t="shared" si="24"/>
        <v>0</v>
      </c>
      <c r="O123" s="1">
        <f t="shared" si="25"/>
        <v>0</v>
      </c>
      <c r="Q123">
        <v>97</v>
      </c>
      <c r="R123" s="1">
        <f t="shared" si="31"/>
        <v>8.0490281106904149E-11</v>
      </c>
      <c r="S123" s="1">
        <f t="shared" ref="S123:S146" si="33">IF($Q123&lt;=VALUE($N$9),($M$7-$M$14)/$N$9,0)</f>
        <v>0</v>
      </c>
      <c r="T123" s="1">
        <f t="shared" si="26"/>
        <v>0</v>
      </c>
      <c r="U123" s="1">
        <f t="shared" si="27"/>
        <v>0</v>
      </c>
      <c r="V123" s="1">
        <f t="shared" si="28"/>
        <v>0</v>
      </c>
    </row>
    <row r="124" spans="2:22" x14ac:dyDescent="0.25">
      <c r="B124">
        <v>98</v>
      </c>
      <c r="C124" s="1">
        <f t="shared" si="29"/>
        <v>7.5362228658641266E-12</v>
      </c>
      <c r="D124" s="1">
        <f t="shared" si="32"/>
        <v>0</v>
      </c>
      <c r="E124" s="1">
        <f t="shared" si="19"/>
        <v>-4.9613467200272167E-14</v>
      </c>
      <c r="F124" s="1">
        <f t="shared" si="20"/>
        <v>4.9613467200272167E-14</v>
      </c>
      <c r="G124" s="1">
        <f t="shared" si="21"/>
        <v>0</v>
      </c>
      <c r="J124">
        <v>98</v>
      </c>
      <c r="K124" s="1">
        <f t="shared" si="30"/>
        <v>0</v>
      </c>
      <c r="L124" s="1">
        <f t="shared" si="22"/>
        <v>0</v>
      </c>
      <c r="M124" s="1">
        <f t="shared" si="23"/>
        <v>0</v>
      </c>
      <c r="N124" s="1">
        <f t="shared" si="24"/>
        <v>0</v>
      </c>
      <c r="O124" s="1">
        <f t="shared" si="25"/>
        <v>0</v>
      </c>
      <c r="Q124">
        <v>98</v>
      </c>
      <c r="R124" s="1">
        <f t="shared" si="31"/>
        <v>8.0490281106904149E-11</v>
      </c>
      <c r="S124" s="1">
        <f t="shared" si="33"/>
        <v>0</v>
      </c>
      <c r="T124" s="1">
        <f t="shared" si="26"/>
        <v>0</v>
      </c>
      <c r="U124" s="1">
        <f t="shared" si="27"/>
        <v>0</v>
      </c>
      <c r="V124" s="1">
        <f t="shared" si="28"/>
        <v>0</v>
      </c>
    </row>
    <row r="125" spans="2:22" x14ac:dyDescent="0.25">
      <c r="B125">
        <v>99</v>
      </c>
      <c r="C125" s="1">
        <f t="shared" si="29"/>
        <v>7.5858363330643981E-12</v>
      </c>
      <c r="D125" s="1">
        <f t="shared" si="32"/>
        <v>0</v>
      </c>
      <c r="E125" s="1">
        <f t="shared" si="19"/>
        <v>-4.9940089192673952E-14</v>
      </c>
      <c r="F125" s="1">
        <f t="shared" si="20"/>
        <v>4.9940089192673952E-14</v>
      </c>
      <c r="G125" s="1">
        <f t="shared" si="21"/>
        <v>0</v>
      </c>
      <c r="J125">
        <v>99</v>
      </c>
      <c r="K125" s="1">
        <f t="shared" si="30"/>
        <v>0</v>
      </c>
      <c r="L125" s="1">
        <f t="shared" si="22"/>
        <v>0</v>
      </c>
      <c r="M125" s="1">
        <f t="shared" si="23"/>
        <v>0</v>
      </c>
      <c r="N125" s="1">
        <f t="shared" si="24"/>
        <v>0</v>
      </c>
      <c r="O125" s="1">
        <f t="shared" si="25"/>
        <v>0</v>
      </c>
      <c r="Q125">
        <v>99</v>
      </c>
      <c r="R125" s="1">
        <f t="shared" si="31"/>
        <v>8.0490281106904149E-11</v>
      </c>
      <c r="S125" s="1">
        <f t="shared" si="33"/>
        <v>0</v>
      </c>
      <c r="T125" s="1">
        <f t="shared" si="26"/>
        <v>0</v>
      </c>
      <c r="U125" s="1">
        <f t="shared" si="27"/>
        <v>0</v>
      </c>
      <c r="V125" s="1">
        <f t="shared" si="28"/>
        <v>0</v>
      </c>
    </row>
    <row r="126" spans="2:22" x14ac:dyDescent="0.25">
      <c r="B126">
        <v>100</v>
      </c>
      <c r="C126" s="1">
        <f t="shared" si="29"/>
        <v>7.6357764222570719E-12</v>
      </c>
      <c r="D126" s="1">
        <f t="shared" si="32"/>
        <v>0</v>
      </c>
      <c r="E126" s="1">
        <f t="shared" si="19"/>
        <v>-5.0268861446525729E-14</v>
      </c>
      <c r="F126" s="1">
        <f t="shared" si="20"/>
        <v>5.0268861446525729E-14</v>
      </c>
      <c r="G126" s="1">
        <f t="shared" si="21"/>
        <v>0</v>
      </c>
      <c r="J126">
        <v>100</v>
      </c>
      <c r="K126" s="1">
        <f t="shared" si="30"/>
        <v>0</v>
      </c>
      <c r="L126" s="1">
        <f t="shared" si="22"/>
        <v>0</v>
      </c>
      <c r="M126" s="1">
        <f t="shared" si="23"/>
        <v>0</v>
      </c>
      <c r="N126" s="1">
        <f t="shared" si="24"/>
        <v>0</v>
      </c>
      <c r="O126" s="1">
        <f t="shared" si="25"/>
        <v>0</v>
      </c>
      <c r="Q126">
        <v>100</v>
      </c>
      <c r="R126" s="1">
        <f t="shared" si="31"/>
        <v>8.0490281106904149E-11</v>
      </c>
      <c r="S126" s="1">
        <f t="shared" si="33"/>
        <v>0</v>
      </c>
      <c r="T126" s="1">
        <f t="shared" si="26"/>
        <v>0</v>
      </c>
      <c r="U126" s="1">
        <f t="shared" si="27"/>
        <v>0</v>
      </c>
      <c r="V126" s="1">
        <f t="shared" si="28"/>
        <v>0</v>
      </c>
    </row>
    <row r="127" spans="2:22" x14ac:dyDescent="0.25">
      <c r="B127">
        <v>101</v>
      </c>
      <c r="C127" s="1">
        <f t="shared" si="29"/>
        <v>7.6860452837035981E-12</v>
      </c>
      <c r="D127" s="1">
        <f t="shared" si="32"/>
        <v>0</v>
      </c>
      <c r="E127" s="1">
        <f t="shared" si="19"/>
        <v>-5.059979811771535E-14</v>
      </c>
      <c r="F127" s="1">
        <f t="shared" si="20"/>
        <v>5.059979811771535E-14</v>
      </c>
      <c r="G127" s="1">
        <f t="shared" si="21"/>
        <v>0</v>
      </c>
      <c r="J127">
        <v>101</v>
      </c>
      <c r="K127" s="1">
        <f t="shared" si="30"/>
        <v>0</v>
      </c>
      <c r="L127" s="1">
        <f t="shared" si="22"/>
        <v>0</v>
      </c>
      <c r="M127" s="1">
        <f t="shared" si="23"/>
        <v>0</v>
      </c>
      <c r="N127" s="1">
        <f t="shared" si="24"/>
        <v>0</v>
      </c>
      <c r="O127" s="1">
        <f t="shared" si="25"/>
        <v>0</v>
      </c>
      <c r="Q127">
        <v>101</v>
      </c>
      <c r="R127" s="1">
        <f t="shared" si="31"/>
        <v>8.0490281106904149E-11</v>
      </c>
      <c r="S127" s="1">
        <f t="shared" si="33"/>
        <v>0</v>
      </c>
      <c r="T127" s="1">
        <f t="shared" si="26"/>
        <v>0</v>
      </c>
      <c r="U127" s="1">
        <f t="shared" si="27"/>
        <v>0</v>
      </c>
      <c r="V127" s="1">
        <f t="shared" si="28"/>
        <v>0</v>
      </c>
    </row>
    <row r="128" spans="2:22" x14ac:dyDescent="0.25">
      <c r="B128">
        <v>102</v>
      </c>
      <c r="C128" s="1">
        <f t="shared" si="29"/>
        <v>7.7366450818213128E-12</v>
      </c>
      <c r="D128" s="1">
        <f t="shared" si="32"/>
        <v>0</v>
      </c>
      <c r="E128" s="1">
        <f t="shared" si="19"/>
        <v>-5.0932913455323639E-14</v>
      </c>
      <c r="F128" s="1">
        <f t="shared" si="20"/>
        <v>5.0932913455323639E-14</v>
      </c>
      <c r="G128" s="1">
        <f t="shared" si="21"/>
        <v>0</v>
      </c>
      <c r="J128">
        <v>102</v>
      </c>
      <c r="K128" s="1">
        <f t="shared" si="30"/>
        <v>0</v>
      </c>
      <c r="L128" s="1">
        <f t="shared" si="22"/>
        <v>0</v>
      </c>
      <c r="M128" s="1">
        <f t="shared" si="23"/>
        <v>0</v>
      </c>
      <c r="N128" s="1">
        <f t="shared" si="24"/>
        <v>0</v>
      </c>
      <c r="O128" s="1">
        <f t="shared" si="25"/>
        <v>0</v>
      </c>
      <c r="Q128">
        <v>102</v>
      </c>
      <c r="R128" s="1">
        <f t="shared" si="31"/>
        <v>8.0490281106904149E-11</v>
      </c>
      <c r="S128" s="1">
        <f t="shared" si="33"/>
        <v>0</v>
      </c>
      <c r="T128" s="1">
        <f t="shared" si="26"/>
        <v>0</v>
      </c>
      <c r="U128" s="1">
        <f t="shared" si="27"/>
        <v>0</v>
      </c>
      <c r="V128" s="1">
        <f t="shared" si="28"/>
        <v>0</v>
      </c>
    </row>
    <row r="129" spans="2:22" x14ac:dyDescent="0.25">
      <c r="B129">
        <v>103</v>
      </c>
      <c r="C129" s="1">
        <f t="shared" si="29"/>
        <v>7.7875779952766362E-12</v>
      </c>
      <c r="D129" s="1">
        <f t="shared" si="32"/>
        <v>0</v>
      </c>
      <c r="E129" s="1">
        <f t="shared" si="19"/>
        <v>-5.126822180223785E-14</v>
      </c>
      <c r="F129" s="1">
        <f t="shared" si="20"/>
        <v>5.126822180223785E-14</v>
      </c>
      <c r="G129" s="1">
        <f t="shared" si="21"/>
        <v>0</v>
      </c>
      <c r="J129">
        <v>103</v>
      </c>
      <c r="K129" s="1">
        <f t="shared" si="30"/>
        <v>0</v>
      </c>
      <c r="L129" s="1">
        <f t="shared" si="22"/>
        <v>0</v>
      </c>
      <c r="M129" s="1">
        <f t="shared" si="23"/>
        <v>0</v>
      </c>
      <c r="N129" s="1">
        <f t="shared" si="24"/>
        <v>0</v>
      </c>
      <c r="O129" s="1">
        <f t="shared" si="25"/>
        <v>0</v>
      </c>
      <c r="Q129">
        <v>103</v>
      </c>
      <c r="R129" s="1">
        <f t="shared" si="31"/>
        <v>8.0490281106904149E-11</v>
      </c>
      <c r="S129" s="1">
        <f t="shared" si="33"/>
        <v>0</v>
      </c>
      <c r="T129" s="1">
        <f t="shared" si="26"/>
        <v>0</v>
      </c>
      <c r="U129" s="1">
        <f t="shared" si="27"/>
        <v>0</v>
      </c>
      <c r="V129" s="1">
        <f t="shared" si="28"/>
        <v>0</v>
      </c>
    </row>
    <row r="130" spans="2:22" x14ac:dyDescent="0.25">
      <c r="B130">
        <v>104</v>
      </c>
      <c r="C130" s="1">
        <f t="shared" si="29"/>
        <v>7.8388462170788741E-12</v>
      </c>
      <c r="D130" s="1">
        <f t="shared" si="32"/>
        <v>0</v>
      </c>
      <c r="E130" s="1">
        <f t="shared" si="19"/>
        <v>-5.1605737595769255E-14</v>
      </c>
      <c r="F130" s="1">
        <f t="shared" si="20"/>
        <v>5.1605737595769255E-14</v>
      </c>
      <c r="G130" s="1">
        <f t="shared" si="21"/>
        <v>0</v>
      </c>
      <c r="J130">
        <v>104</v>
      </c>
      <c r="K130" s="1">
        <f t="shared" si="30"/>
        <v>0</v>
      </c>
      <c r="L130" s="1">
        <f t="shared" si="22"/>
        <v>0</v>
      </c>
      <c r="M130" s="1">
        <f t="shared" si="23"/>
        <v>0</v>
      </c>
      <c r="N130" s="1">
        <f t="shared" si="24"/>
        <v>0</v>
      </c>
      <c r="O130" s="1">
        <f t="shared" si="25"/>
        <v>0</v>
      </c>
      <c r="Q130">
        <v>104</v>
      </c>
      <c r="R130" s="1">
        <f t="shared" si="31"/>
        <v>8.0490281106904149E-11</v>
      </c>
      <c r="S130" s="1">
        <f t="shared" si="33"/>
        <v>0</v>
      </c>
      <c r="T130" s="1">
        <f t="shared" si="26"/>
        <v>0</v>
      </c>
      <c r="U130" s="1">
        <f t="shared" si="27"/>
        <v>0</v>
      </c>
      <c r="V130" s="1">
        <f t="shared" si="28"/>
        <v>0</v>
      </c>
    </row>
    <row r="131" spans="2:22" x14ac:dyDescent="0.25">
      <c r="B131">
        <v>105</v>
      </c>
      <c r="C131" s="1">
        <f t="shared" si="29"/>
        <v>7.8904519546746437E-12</v>
      </c>
      <c r="D131" s="1">
        <f t="shared" si="32"/>
        <v>0</v>
      </c>
      <c r="E131" s="1">
        <f t="shared" si="19"/>
        <v>-5.1945475368274737E-14</v>
      </c>
      <c r="F131" s="1">
        <f t="shared" si="20"/>
        <v>5.1945475368274737E-14</v>
      </c>
      <c r="G131" s="1">
        <f t="shared" si="21"/>
        <v>0</v>
      </c>
      <c r="J131">
        <v>105</v>
      </c>
      <c r="K131" s="1">
        <f t="shared" si="30"/>
        <v>0</v>
      </c>
      <c r="L131" s="1">
        <f t="shared" si="22"/>
        <v>0</v>
      </c>
      <c r="M131" s="1">
        <f t="shared" si="23"/>
        <v>0</v>
      </c>
      <c r="N131" s="1">
        <f t="shared" si="24"/>
        <v>0</v>
      </c>
      <c r="O131" s="1">
        <f t="shared" si="25"/>
        <v>0</v>
      </c>
      <c r="Q131">
        <v>105</v>
      </c>
      <c r="R131" s="1">
        <f t="shared" si="31"/>
        <v>8.0490281106904149E-11</v>
      </c>
      <c r="S131" s="1">
        <f t="shared" si="33"/>
        <v>0</v>
      </c>
      <c r="T131" s="1">
        <f t="shared" si="26"/>
        <v>0</v>
      </c>
      <c r="U131" s="1">
        <f t="shared" si="27"/>
        <v>0</v>
      </c>
      <c r="V131" s="1">
        <f t="shared" si="28"/>
        <v>0</v>
      </c>
    </row>
    <row r="132" spans="2:22" x14ac:dyDescent="0.25">
      <c r="B132">
        <v>106</v>
      </c>
      <c r="C132" s="1">
        <f t="shared" si="29"/>
        <v>7.9423974300429186E-12</v>
      </c>
      <c r="D132" s="1">
        <f t="shared" si="32"/>
        <v>0</v>
      </c>
      <c r="E132" s="1">
        <f t="shared" si="19"/>
        <v>-5.2287449747782547E-14</v>
      </c>
      <c r="F132" s="1">
        <f t="shared" si="20"/>
        <v>5.2287449747782547E-14</v>
      </c>
      <c r="G132" s="1">
        <f t="shared" si="21"/>
        <v>0</v>
      </c>
      <c r="J132">
        <v>106</v>
      </c>
      <c r="K132" s="1">
        <f t="shared" si="30"/>
        <v>0</v>
      </c>
      <c r="L132" s="1">
        <f t="shared" si="22"/>
        <v>0</v>
      </c>
      <c r="M132" s="1">
        <f t="shared" si="23"/>
        <v>0</v>
      </c>
      <c r="N132" s="1">
        <f t="shared" si="24"/>
        <v>0</v>
      </c>
      <c r="O132" s="1">
        <f t="shared" si="25"/>
        <v>0</v>
      </c>
      <c r="Q132">
        <v>106</v>
      </c>
      <c r="R132" s="1">
        <f t="shared" si="31"/>
        <v>8.0490281106904149E-11</v>
      </c>
      <c r="S132" s="1">
        <f t="shared" si="33"/>
        <v>0</v>
      </c>
      <c r="T132" s="1">
        <f t="shared" si="26"/>
        <v>0</v>
      </c>
      <c r="U132" s="1">
        <f t="shared" si="27"/>
        <v>0</v>
      </c>
      <c r="V132" s="1">
        <f t="shared" si="28"/>
        <v>0</v>
      </c>
    </row>
    <row r="133" spans="2:22" x14ac:dyDescent="0.25">
      <c r="B133">
        <v>107</v>
      </c>
      <c r="C133" s="1">
        <f t="shared" si="29"/>
        <v>7.9946848797907009E-12</v>
      </c>
      <c r="D133" s="1">
        <f t="shared" si="32"/>
        <v>0</v>
      </c>
      <c r="E133" s="1">
        <f t="shared" si="19"/>
        <v>-5.2631675458622109E-14</v>
      </c>
      <c r="F133" s="1">
        <f t="shared" si="20"/>
        <v>5.2631675458622109E-14</v>
      </c>
      <c r="G133" s="1">
        <f t="shared" si="21"/>
        <v>0</v>
      </c>
      <c r="J133">
        <v>107</v>
      </c>
      <c r="K133" s="1">
        <f t="shared" si="30"/>
        <v>0</v>
      </c>
      <c r="L133" s="1">
        <f t="shared" si="22"/>
        <v>0</v>
      </c>
      <c r="M133" s="1">
        <f t="shared" si="23"/>
        <v>0</v>
      </c>
      <c r="N133" s="1">
        <f t="shared" si="24"/>
        <v>0</v>
      </c>
      <c r="O133" s="1">
        <f t="shared" si="25"/>
        <v>0</v>
      </c>
      <c r="Q133">
        <v>107</v>
      </c>
      <c r="R133" s="1">
        <f t="shared" si="31"/>
        <v>8.0490281106904149E-11</v>
      </c>
      <c r="S133" s="1">
        <f t="shared" si="33"/>
        <v>0</v>
      </c>
      <c r="T133" s="1">
        <f t="shared" si="26"/>
        <v>0</v>
      </c>
      <c r="U133" s="1">
        <f t="shared" si="27"/>
        <v>0</v>
      </c>
      <c r="V133" s="1">
        <f t="shared" si="28"/>
        <v>0</v>
      </c>
    </row>
    <row r="134" spans="2:22" x14ac:dyDescent="0.25">
      <c r="B134">
        <v>108</v>
      </c>
      <c r="C134" s="1">
        <f t="shared" si="29"/>
        <v>8.047316555249323E-12</v>
      </c>
      <c r="D134" s="1">
        <f t="shared" si="32"/>
        <v>0</v>
      </c>
      <c r="E134" s="1">
        <f t="shared" si="19"/>
        <v>-5.2978167322058038E-14</v>
      </c>
      <c r="F134" s="1">
        <f t="shared" si="20"/>
        <v>5.2978167322058038E-14</v>
      </c>
      <c r="G134" s="1">
        <f t="shared" si="21"/>
        <v>0</v>
      </c>
      <c r="J134">
        <v>108</v>
      </c>
      <c r="K134" s="1">
        <f t="shared" si="30"/>
        <v>0</v>
      </c>
      <c r="L134" s="1">
        <f t="shared" si="22"/>
        <v>0</v>
      </c>
      <c r="M134" s="1">
        <f t="shared" si="23"/>
        <v>0</v>
      </c>
      <c r="N134" s="1">
        <f t="shared" si="24"/>
        <v>0</v>
      </c>
      <c r="O134" s="1">
        <f t="shared" si="25"/>
        <v>0</v>
      </c>
      <c r="Q134">
        <v>108</v>
      </c>
      <c r="R134" s="1">
        <f t="shared" si="31"/>
        <v>8.0490281106904149E-11</v>
      </c>
      <c r="S134" s="1">
        <f t="shared" si="33"/>
        <v>0</v>
      </c>
      <c r="T134" s="1">
        <f t="shared" si="26"/>
        <v>0</v>
      </c>
      <c r="U134" s="1">
        <f t="shared" si="27"/>
        <v>0</v>
      </c>
      <c r="V134" s="1">
        <f t="shared" si="28"/>
        <v>0</v>
      </c>
    </row>
    <row r="135" spans="2:22" x14ac:dyDescent="0.25">
      <c r="B135">
        <v>109</v>
      </c>
      <c r="C135" s="1">
        <f t="shared" si="29"/>
        <v>8.1002947225713811E-12</v>
      </c>
      <c r="D135" s="1">
        <f t="shared" si="32"/>
        <v>0</v>
      </c>
      <c r="E135" s="1">
        <f t="shared" si="19"/>
        <v>-5.3326940256928261E-14</v>
      </c>
      <c r="F135" s="1">
        <f t="shared" si="20"/>
        <v>5.3326940256928261E-14</v>
      </c>
      <c r="G135" s="1">
        <f t="shared" si="21"/>
        <v>0</v>
      </c>
      <c r="J135">
        <v>109</v>
      </c>
      <c r="K135" s="1">
        <f t="shared" si="30"/>
        <v>0</v>
      </c>
      <c r="L135" s="1">
        <f t="shared" si="22"/>
        <v>0</v>
      </c>
      <c r="M135" s="1">
        <f t="shared" si="23"/>
        <v>0</v>
      </c>
      <c r="N135" s="1">
        <f t="shared" si="24"/>
        <v>0</v>
      </c>
      <c r="O135" s="1">
        <f t="shared" si="25"/>
        <v>0</v>
      </c>
      <c r="Q135">
        <v>109</v>
      </c>
      <c r="R135" s="1">
        <f t="shared" si="31"/>
        <v>8.0490281106904149E-11</v>
      </c>
      <c r="S135" s="1">
        <f t="shared" si="33"/>
        <v>0</v>
      </c>
      <c r="T135" s="1">
        <f t="shared" si="26"/>
        <v>0</v>
      </c>
      <c r="U135" s="1">
        <f t="shared" si="27"/>
        <v>0</v>
      </c>
      <c r="V135" s="1">
        <f t="shared" si="28"/>
        <v>0</v>
      </c>
    </row>
    <row r="136" spans="2:22" x14ac:dyDescent="0.25">
      <c r="B136">
        <v>110</v>
      </c>
      <c r="C136" s="1">
        <f t="shared" si="29"/>
        <v>8.1536216628283086E-12</v>
      </c>
      <c r="D136" s="1">
        <f t="shared" si="32"/>
        <v>0</v>
      </c>
      <c r="E136" s="1">
        <f t="shared" si="19"/>
        <v>-5.3678009280286366E-14</v>
      </c>
      <c r="F136" s="1">
        <f t="shared" si="20"/>
        <v>5.3678009280286366E-14</v>
      </c>
      <c r="G136" s="1">
        <f t="shared" si="21"/>
        <v>0</v>
      </c>
      <c r="J136">
        <v>110</v>
      </c>
      <c r="K136" s="1">
        <f t="shared" si="30"/>
        <v>0</v>
      </c>
      <c r="L136" s="1">
        <f t="shared" si="22"/>
        <v>0</v>
      </c>
      <c r="M136" s="1">
        <f t="shared" si="23"/>
        <v>0</v>
      </c>
      <c r="N136" s="1">
        <f t="shared" si="24"/>
        <v>0</v>
      </c>
      <c r="O136" s="1">
        <f t="shared" si="25"/>
        <v>0</v>
      </c>
      <c r="Q136">
        <v>110</v>
      </c>
      <c r="R136" s="1">
        <f t="shared" si="31"/>
        <v>8.0490281106904149E-11</v>
      </c>
      <c r="S136" s="1">
        <f t="shared" si="33"/>
        <v>0</v>
      </c>
      <c r="T136" s="1">
        <f t="shared" si="26"/>
        <v>0</v>
      </c>
      <c r="U136" s="1">
        <f t="shared" si="27"/>
        <v>0</v>
      </c>
      <c r="V136" s="1">
        <f t="shared" si="28"/>
        <v>0</v>
      </c>
    </row>
    <row r="137" spans="2:22" x14ac:dyDescent="0.25">
      <c r="B137">
        <v>111</v>
      </c>
      <c r="C137" s="1">
        <f t="shared" si="29"/>
        <v>8.2072996721085944E-12</v>
      </c>
      <c r="D137" s="1">
        <f t="shared" si="32"/>
        <v>0</v>
      </c>
      <c r="E137" s="1">
        <f t="shared" si="19"/>
        <v>-5.4031389508048246E-14</v>
      </c>
      <c r="F137" s="1">
        <f t="shared" si="20"/>
        <v>5.4031389508048246E-14</v>
      </c>
      <c r="G137" s="1">
        <f t="shared" si="21"/>
        <v>0</v>
      </c>
      <c r="J137">
        <v>111</v>
      </c>
      <c r="K137" s="1">
        <f t="shared" si="30"/>
        <v>0</v>
      </c>
      <c r="L137" s="1">
        <f t="shared" si="22"/>
        <v>0</v>
      </c>
      <c r="M137" s="1">
        <f t="shared" si="23"/>
        <v>0</v>
      </c>
      <c r="N137" s="1">
        <f t="shared" si="24"/>
        <v>0</v>
      </c>
      <c r="O137" s="1">
        <f t="shared" si="25"/>
        <v>0</v>
      </c>
      <c r="Q137">
        <v>111</v>
      </c>
      <c r="R137" s="1">
        <f t="shared" si="31"/>
        <v>8.0490281106904149E-11</v>
      </c>
      <c r="S137" s="1">
        <f t="shared" si="33"/>
        <v>0</v>
      </c>
      <c r="T137" s="1">
        <f t="shared" si="26"/>
        <v>0</v>
      </c>
      <c r="U137" s="1">
        <f t="shared" si="27"/>
        <v>0</v>
      </c>
      <c r="V137" s="1">
        <f t="shared" si="28"/>
        <v>0</v>
      </c>
    </row>
    <row r="138" spans="2:22" x14ac:dyDescent="0.25">
      <c r="B138">
        <v>112</v>
      </c>
      <c r="C138" s="1">
        <f t="shared" si="29"/>
        <v>8.2613310616166419E-12</v>
      </c>
      <c r="D138" s="1">
        <f t="shared" si="32"/>
        <v>0</v>
      </c>
      <c r="E138" s="1">
        <f t="shared" si="19"/>
        <v>-5.4387096155642889E-14</v>
      </c>
      <c r="F138" s="1">
        <f t="shared" si="20"/>
        <v>5.4387096155642889E-14</v>
      </c>
      <c r="G138" s="1">
        <f t="shared" si="21"/>
        <v>0</v>
      </c>
      <c r="J138">
        <v>112</v>
      </c>
      <c r="K138" s="1">
        <f t="shared" si="30"/>
        <v>0</v>
      </c>
      <c r="L138" s="1">
        <f t="shared" si="22"/>
        <v>0</v>
      </c>
      <c r="M138" s="1">
        <f t="shared" si="23"/>
        <v>0</v>
      </c>
      <c r="N138" s="1">
        <f t="shared" si="24"/>
        <v>0</v>
      </c>
      <c r="O138" s="1">
        <f t="shared" si="25"/>
        <v>0</v>
      </c>
      <c r="Q138">
        <v>112</v>
      </c>
      <c r="R138" s="1">
        <f t="shared" si="31"/>
        <v>8.0490281106904149E-11</v>
      </c>
      <c r="S138" s="1">
        <f t="shared" si="33"/>
        <v>0</v>
      </c>
      <c r="T138" s="1">
        <f t="shared" si="26"/>
        <v>0</v>
      </c>
      <c r="U138" s="1">
        <f t="shared" si="27"/>
        <v>0</v>
      </c>
      <c r="V138" s="1">
        <f t="shared" si="28"/>
        <v>0</v>
      </c>
    </row>
    <row r="139" spans="2:22" x14ac:dyDescent="0.25">
      <c r="B139">
        <v>113</v>
      </c>
      <c r="C139" s="1">
        <f t="shared" si="29"/>
        <v>8.3157181577722845E-12</v>
      </c>
      <c r="D139" s="1">
        <f t="shared" si="32"/>
        <v>0</v>
      </c>
      <c r="E139" s="1">
        <f t="shared" si="19"/>
        <v>-5.4745144538667539E-14</v>
      </c>
      <c r="F139" s="1">
        <f t="shared" si="20"/>
        <v>5.4745144538667539E-14</v>
      </c>
      <c r="G139" s="1">
        <f t="shared" si="21"/>
        <v>0</v>
      </c>
      <c r="J139">
        <v>113</v>
      </c>
      <c r="K139" s="1">
        <f t="shared" si="30"/>
        <v>0</v>
      </c>
      <c r="L139" s="1">
        <f t="shared" si="22"/>
        <v>0</v>
      </c>
      <c r="M139" s="1">
        <f t="shared" si="23"/>
        <v>0</v>
      </c>
      <c r="N139" s="1">
        <f t="shared" si="24"/>
        <v>0</v>
      </c>
      <c r="O139" s="1">
        <f t="shared" si="25"/>
        <v>0</v>
      </c>
      <c r="Q139">
        <v>113</v>
      </c>
      <c r="R139" s="1">
        <f t="shared" si="31"/>
        <v>8.0490281106904149E-11</v>
      </c>
      <c r="S139" s="1">
        <f t="shared" si="33"/>
        <v>0</v>
      </c>
      <c r="T139" s="1">
        <f t="shared" si="26"/>
        <v>0</v>
      </c>
      <c r="U139" s="1">
        <f t="shared" si="27"/>
        <v>0</v>
      </c>
      <c r="V139" s="1">
        <f t="shared" si="28"/>
        <v>0</v>
      </c>
    </row>
    <row r="140" spans="2:22" x14ac:dyDescent="0.25">
      <c r="B140">
        <v>114</v>
      </c>
      <c r="C140" s="1">
        <f t="shared" si="29"/>
        <v>8.3704633023109521E-12</v>
      </c>
      <c r="D140" s="1">
        <f t="shared" si="32"/>
        <v>0</v>
      </c>
      <c r="E140" s="1">
        <f t="shared" si="19"/>
        <v>-5.5105550073547097E-14</v>
      </c>
      <c r="F140" s="1">
        <f t="shared" si="20"/>
        <v>5.5105550073547097E-14</v>
      </c>
      <c r="G140" s="1">
        <f t="shared" si="21"/>
        <v>0</v>
      </c>
      <c r="J140">
        <v>114</v>
      </c>
      <c r="K140" s="1">
        <f t="shared" si="30"/>
        <v>0</v>
      </c>
      <c r="L140" s="1">
        <f t="shared" si="22"/>
        <v>0</v>
      </c>
      <c r="M140" s="1">
        <f t="shared" si="23"/>
        <v>0</v>
      </c>
      <c r="N140" s="1">
        <f t="shared" si="24"/>
        <v>0</v>
      </c>
      <c r="O140" s="1">
        <f t="shared" si="25"/>
        <v>0</v>
      </c>
      <c r="Q140">
        <v>114</v>
      </c>
      <c r="R140" s="1">
        <f t="shared" si="31"/>
        <v>8.0490281106904149E-11</v>
      </c>
      <c r="S140" s="1">
        <f t="shared" si="33"/>
        <v>0</v>
      </c>
      <c r="T140" s="1">
        <f t="shared" si="26"/>
        <v>0</v>
      </c>
      <c r="U140" s="1">
        <f t="shared" si="27"/>
        <v>0</v>
      </c>
      <c r="V140" s="1">
        <f t="shared" si="28"/>
        <v>0</v>
      </c>
    </row>
    <row r="141" spans="2:22" x14ac:dyDescent="0.25">
      <c r="B141">
        <v>115</v>
      </c>
      <c r="C141" s="1">
        <f t="shared" si="29"/>
        <v>8.4255688523844997E-12</v>
      </c>
      <c r="D141" s="1">
        <f t="shared" si="32"/>
        <v>0</v>
      </c>
      <c r="E141" s="1">
        <f t="shared" si="19"/>
        <v>-5.5468328278197958E-14</v>
      </c>
      <c r="F141" s="1">
        <f t="shared" si="20"/>
        <v>5.5468328278197958E-14</v>
      </c>
      <c r="G141" s="1">
        <f t="shared" si="21"/>
        <v>0</v>
      </c>
      <c r="J141">
        <v>115</v>
      </c>
      <c r="K141" s="1">
        <f t="shared" si="30"/>
        <v>0</v>
      </c>
      <c r="L141" s="1">
        <f t="shared" si="22"/>
        <v>0</v>
      </c>
      <c r="M141" s="1">
        <f t="shared" si="23"/>
        <v>0</v>
      </c>
      <c r="N141" s="1">
        <f t="shared" si="24"/>
        <v>0</v>
      </c>
      <c r="O141" s="1">
        <f t="shared" si="25"/>
        <v>0</v>
      </c>
      <c r="Q141">
        <v>115</v>
      </c>
      <c r="R141" s="1">
        <f t="shared" si="31"/>
        <v>8.0490281106904149E-11</v>
      </c>
      <c r="S141" s="1">
        <f t="shared" si="33"/>
        <v>0</v>
      </c>
      <c r="T141" s="1">
        <f t="shared" si="26"/>
        <v>0</v>
      </c>
      <c r="U141" s="1">
        <f t="shared" si="27"/>
        <v>0</v>
      </c>
      <c r="V141" s="1">
        <f t="shared" si="28"/>
        <v>0</v>
      </c>
    </row>
    <row r="142" spans="2:22" x14ac:dyDescent="0.25">
      <c r="B142">
        <v>116</v>
      </c>
      <c r="C142" s="1">
        <f t="shared" si="29"/>
        <v>8.4810371806626971E-12</v>
      </c>
      <c r="D142" s="1">
        <f t="shared" si="32"/>
        <v>0</v>
      </c>
      <c r="E142" s="1">
        <f t="shared" si="19"/>
        <v>-5.5833494772696087E-14</v>
      </c>
      <c r="F142" s="1">
        <f t="shared" si="20"/>
        <v>5.5833494772696087E-14</v>
      </c>
      <c r="G142" s="1">
        <f t="shared" si="21"/>
        <v>0</v>
      </c>
      <c r="J142">
        <v>116</v>
      </c>
      <c r="K142" s="1">
        <f t="shared" si="30"/>
        <v>0</v>
      </c>
      <c r="L142" s="1">
        <f t="shared" si="22"/>
        <v>0</v>
      </c>
      <c r="M142" s="1">
        <f t="shared" si="23"/>
        <v>0</v>
      </c>
      <c r="N142" s="1">
        <f t="shared" si="24"/>
        <v>0</v>
      </c>
      <c r="O142" s="1">
        <f t="shared" si="25"/>
        <v>0</v>
      </c>
      <c r="Q142">
        <v>116</v>
      </c>
      <c r="R142" s="1">
        <f t="shared" si="31"/>
        <v>8.0490281106904149E-11</v>
      </c>
      <c r="S142" s="1">
        <f t="shared" si="33"/>
        <v>0</v>
      </c>
      <c r="T142" s="1">
        <f t="shared" si="26"/>
        <v>0</v>
      </c>
      <c r="U142" s="1">
        <f t="shared" si="27"/>
        <v>0</v>
      </c>
      <c r="V142" s="1">
        <f t="shared" si="28"/>
        <v>0</v>
      </c>
    </row>
    <row r="143" spans="2:22" x14ac:dyDescent="0.25">
      <c r="B143">
        <v>117</v>
      </c>
      <c r="C143" s="1">
        <f t="shared" si="29"/>
        <v>8.5368706754353936E-12</v>
      </c>
      <c r="D143" s="1">
        <f t="shared" si="32"/>
        <v>0</v>
      </c>
      <c r="E143" s="1">
        <f t="shared" si="19"/>
        <v>-5.6201065279949677E-14</v>
      </c>
      <c r="F143" s="1">
        <f t="shared" si="20"/>
        <v>5.6201065279949677E-14</v>
      </c>
      <c r="G143" s="1">
        <f t="shared" si="21"/>
        <v>0</v>
      </c>
      <c r="J143">
        <v>117</v>
      </c>
      <c r="K143" s="1">
        <f t="shared" si="30"/>
        <v>0</v>
      </c>
      <c r="L143" s="1">
        <f t="shared" si="22"/>
        <v>0</v>
      </c>
      <c r="M143" s="1">
        <f t="shared" si="23"/>
        <v>0</v>
      </c>
      <c r="N143" s="1">
        <f t="shared" si="24"/>
        <v>0</v>
      </c>
      <c r="O143" s="1">
        <f t="shared" si="25"/>
        <v>0</v>
      </c>
      <c r="Q143">
        <v>117</v>
      </c>
      <c r="R143" s="1">
        <f t="shared" si="31"/>
        <v>8.0490281106904149E-11</v>
      </c>
      <c r="S143" s="1">
        <f t="shared" si="33"/>
        <v>0</v>
      </c>
      <c r="T143" s="1">
        <f t="shared" si="26"/>
        <v>0</v>
      </c>
      <c r="U143" s="1">
        <f t="shared" si="27"/>
        <v>0</v>
      </c>
      <c r="V143" s="1">
        <f t="shared" si="28"/>
        <v>0</v>
      </c>
    </row>
    <row r="144" spans="2:22" x14ac:dyDescent="0.25">
      <c r="B144">
        <v>118</v>
      </c>
      <c r="C144" s="1">
        <f t="shared" si="29"/>
        <v>8.593071740715344E-12</v>
      </c>
      <c r="D144" s="1">
        <f t="shared" si="32"/>
        <v>0</v>
      </c>
      <c r="E144" s="1">
        <f t="shared" si="19"/>
        <v>-5.6571055626376011E-14</v>
      </c>
      <c r="F144" s="1">
        <f t="shared" si="20"/>
        <v>5.6571055626376011E-14</v>
      </c>
      <c r="G144" s="1">
        <f t="shared" si="21"/>
        <v>0</v>
      </c>
      <c r="J144">
        <v>118</v>
      </c>
      <c r="K144" s="1">
        <f t="shared" si="30"/>
        <v>0</v>
      </c>
      <c r="L144" s="1">
        <f t="shared" si="22"/>
        <v>0</v>
      </c>
      <c r="M144" s="1">
        <f t="shared" si="23"/>
        <v>0</v>
      </c>
      <c r="N144" s="1">
        <f t="shared" si="24"/>
        <v>0</v>
      </c>
      <c r="O144" s="1">
        <f t="shared" si="25"/>
        <v>0</v>
      </c>
      <c r="Q144">
        <v>118</v>
      </c>
      <c r="R144" s="1">
        <f t="shared" si="31"/>
        <v>8.0490281106904149E-11</v>
      </c>
      <c r="S144" s="1">
        <f t="shared" si="33"/>
        <v>0</v>
      </c>
      <c r="T144" s="1">
        <f t="shared" si="26"/>
        <v>0</v>
      </c>
      <c r="U144" s="1">
        <f t="shared" si="27"/>
        <v>0</v>
      </c>
      <c r="V144" s="1">
        <f t="shared" si="28"/>
        <v>0</v>
      </c>
    </row>
    <row r="145" spans="2:22" x14ac:dyDescent="0.25">
      <c r="B145">
        <v>119</v>
      </c>
      <c r="C145" s="1">
        <f t="shared" si="29"/>
        <v>8.6496427963417205E-12</v>
      </c>
      <c r="D145" s="1">
        <f t="shared" si="32"/>
        <v>0</v>
      </c>
      <c r="E145" s="1">
        <f t="shared" si="19"/>
        <v>-5.6943481742582986E-14</v>
      </c>
      <c r="F145" s="1">
        <f t="shared" si="20"/>
        <v>5.6943481742582986E-14</v>
      </c>
      <c r="G145" s="1">
        <f t="shared" si="21"/>
        <v>0</v>
      </c>
      <c r="J145">
        <v>119</v>
      </c>
      <c r="K145" s="1">
        <f t="shared" si="30"/>
        <v>0</v>
      </c>
      <c r="L145" s="1">
        <f t="shared" si="22"/>
        <v>0</v>
      </c>
      <c r="M145" s="1">
        <f t="shared" si="23"/>
        <v>0</v>
      </c>
      <c r="N145" s="1">
        <f t="shared" si="24"/>
        <v>0</v>
      </c>
      <c r="O145" s="1">
        <f t="shared" si="25"/>
        <v>0</v>
      </c>
      <c r="Q145">
        <v>119</v>
      </c>
      <c r="R145" s="1">
        <f t="shared" si="31"/>
        <v>8.0490281106904149E-11</v>
      </c>
      <c r="S145" s="1">
        <f t="shared" si="33"/>
        <v>0</v>
      </c>
      <c r="T145" s="1">
        <f t="shared" si="26"/>
        <v>0</v>
      </c>
      <c r="U145" s="1">
        <f t="shared" si="27"/>
        <v>0</v>
      </c>
      <c r="V145" s="1">
        <f t="shared" si="28"/>
        <v>0</v>
      </c>
    </row>
    <row r="146" spans="2:22" x14ac:dyDescent="0.25">
      <c r="B146">
        <v>120</v>
      </c>
      <c r="C146" s="1">
        <f t="shared" si="29"/>
        <v>8.7065862780843039E-12</v>
      </c>
      <c r="D146" s="1">
        <f t="shared" si="32"/>
        <v>0</v>
      </c>
      <c r="E146" s="1">
        <f t="shared" si="19"/>
        <v>-5.7318359664054995E-14</v>
      </c>
      <c r="F146" s="1">
        <f t="shared" si="20"/>
        <v>5.7318359664054995E-14</v>
      </c>
      <c r="G146" s="1">
        <f t="shared" si="21"/>
        <v>0</v>
      </c>
      <c r="J146">
        <v>120</v>
      </c>
      <c r="K146" s="1">
        <f t="shared" si="30"/>
        <v>0</v>
      </c>
      <c r="L146" s="1">
        <f t="shared" si="22"/>
        <v>0</v>
      </c>
      <c r="M146" s="1">
        <f t="shared" si="23"/>
        <v>0</v>
      </c>
      <c r="N146" s="1">
        <f t="shared" si="24"/>
        <v>0</v>
      </c>
      <c r="O146" s="1">
        <f t="shared" si="25"/>
        <v>0</v>
      </c>
      <c r="Q146">
        <v>120</v>
      </c>
      <c r="R146" s="1">
        <f t="shared" si="31"/>
        <v>8.0490281106904149E-11</v>
      </c>
      <c r="S146" s="1">
        <f t="shared" si="33"/>
        <v>0</v>
      </c>
      <c r="T146" s="1">
        <f t="shared" si="26"/>
        <v>0</v>
      </c>
      <c r="U146" s="1">
        <f t="shared" si="27"/>
        <v>0</v>
      </c>
      <c r="V146" s="1">
        <f t="shared" si="28"/>
        <v>0</v>
      </c>
    </row>
    <row r="147" spans="2:22" x14ac:dyDescent="0.25"/>
    <row r="148" spans="2:22" x14ac:dyDescent="0.25"/>
  </sheetData>
  <mergeCells count="8">
    <mergeCell ref="S18:T20"/>
    <mergeCell ref="U18:V20"/>
    <mergeCell ref="A2:W2"/>
    <mergeCell ref="B5:G5"/>
    <mergeCell ref="J5:O5"/>
    <mergeCell ref="S10:T12"/>
    <mergeCell ref="S14:T16"/>
    <mergeCell ref="U14:V16"/>
  </mergeCells>
  <conditionalFormatting sqref="E18">
    <cfRule type="cellIs" dxfId="1" priority="1" operator="equal">
      <formula>"Error"</formula>
    </cfRule>
    <cfRule type="cellIs" dxfId="0" priority="2" operator="equal">
      <formula>"Check"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locked="0" defaultSize="0" autoLine="0" r:id="rId4">
            <anchor moveWithCells="1">
              <from>
                <xdr:col>17</xdr:col>
                <xdr:colOff>381000</xdr:colOff>
                <xdr:row>4</xdr:row>
                <xdr:rowOff>95250</xdr:rowOff>
              </from>
              <to>
                <xdr:col>20</xdr:col>
                <xdr:colOff>257175</xdr:colOff>
                <xdr:row>8</xdr:row>
                <xdr:rowOff>19050</xdr:rowOff>
              </to>
            </anchor>
          </controlPr>
        </control>
      </mc:Choice>
      <mc:Fallback>
        <control shapeId="1026" r:id="rId3" name="CommandButton1"/>
      </mc:Fallback>
    </mc:AlternateContent>
    <mc:AlternateContent xmlns:mc="http://schemas.openxmlformats.org/markup-compatibility/2006">
      <mc:Choice Requires="x14">
        <control shapeId="1025" r:id="rId5" name="ComboBox1">
          <controlPr locked="0" defaultSize="0" autoLine="0" linkedCell="N9" listFillRange="Plazos_MSI" r:id="rId6">
            <anchor moveWithCells="1">
              <from>
                <xdr:col>12</xdr:col>
                <xdr:colOff>9525</xdr:colOff>
                <xdr:row>7</xdr:row>
                <xdr:rowOff>161925</xdr:rowOff>
              </from>
              <to>
                <xdr:col>12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025" r:id="rId5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Calculadora</vt:lpstr>
      <vt:lpstr>Plazos_MSI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Carstens Rainer</dc:creator>
  <cp:lastModifiedBy>Carstens Rainer</cp:lastModifiedBy>
  <dcterms:created xsi:type="dcterms:W3CDTF">2020-07-31T16:02:02Z</dcterms:created>
  <dcterms:modified xsi:type="dcterms:W3CDTF">2021-06-08T17:29:25Z</dcterms:modified>
</cp:coreProperties>
</file>